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7840" windowHeight="31920" tabRatio="600" firstSheet="41" autoFilterDateGrouping="1"/>
  </bookViews>
  <sheets>
    <sheet xmlns:r="http://schemas.openxmlformats.org/officeDocument/2006/relationships" name="Steel Tongue Dru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2">
    <numFmt numFmtId="164" formatCode="0.0"/>
    <numFmt numFmtId="165" formatCode="0.000"/>
    <numFmt numFmtId="166" formatCode="#,##0.000"/>
    <numFmt numFmtId="167" formatCode="0.0000"/>
    <numFmt numFmtId="168" formatCode="&quot;$&quot;#,##0.00"/>
    <numFmt numFmtId="169" formatCode="m/d"/>
    <numFmt numFmtId="170" formatCode="m/d/yy"/>
    <numFmt numFmtId="171" formatCode="#\ ##/##"/>
    <numFmt numFmtId="172" formatCode="#\ ###/###"/>
    <numFmt numFmtId="173" formatCode="0.000000"/>
    <numFmt numFmtId="174" formatCode="\+0.000;\-0.000;0.000"/>
    <numFmt numFmtId="175" formatCode="\+0.0%;\-0.0%;0.0%"/>
    <numFmt numFmtId="176" formatCode="\+0.0;\-0.0;&quot;0.0&quot;"/>
    <numFmt numFmtId="177" formatCode="\+0.00;\-0.00;&quot;0.00&quot;"/>
    <numFmt numFmtId="178" formatCode="0.00000"/>
    <numFmt numFmtId="179" formatCode="0.0%"/>
    <numFmt numFmtId="180" formatCode="#,##0.0"/>
    <numFmt numFmtId="181" formatCode="0.0&quot;%&quot;"/>
    <numFmt numFmtId="182" formatCode="0.0&quot;°&quot;"/>
    <numFmt numFmtId="183" formatCode="0.00&quot;°&quot;"/>
    <numFmt numFmtId="184" formatCode="0.000&quot;&quot;"/>
    <numFmt numFmtId="185" formatCode="0.0&quot;&quot;"/>
  </numFmts>
  <fonts count="90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1155CC"/>
      <sz val="10"/>
      <u val="single"/>
    </font>
    <font>
      <name val="Arial"/>
      <color rgb="FF0000FF"/>
      <sz val="10"/>
      <u val="single"/>
    </font>
    <font>
      <name val="Arial"/>
      <b val="1"/>
      <sz val="10"/>
    </font>
    <font>
      <name val="Inconsolata"/>
      <sz val="10"/>
    </font>
    <font>
      <name val="Arial"/>
      <b val="1"/>
      <color rgb="FFFFFFFF"/>
      <sz val="10"/>
    </font>
    <font>
      <name val="Arial"/>
      <color rgb="FFFFFFFF"/>
      <sz val="10"/>
    </font>
    <font>
      <name val="Arial"/>
      <b val="1"/>
      <color rgb="FF000000"/>
      <sz val="10"/>
    </font>
    <font>
      <name val="Arial"/>
      <b val="1"/>
      <color rgb="FF000000"/>
      <sz val="14"/>
    </font>
    <font>
      <name val="Arial"/>
      <color rgb="FFC0C0C0"/>
      <sz val="10"/>
    </font>
    <font>
      <name val="Arial"/>
      <i val="1"/>
      <color rgb="FFC0C0C0"/>
      <sz val="10"/>
    </font>
    <font>
      <name val="Arial"/>
      <color rgb="FF969696"/>
      <sz val="10"/>
    </font>
    <font>
      <name val="Arial"/>
      <b val="1"/>
      <color rgb="FF969696"/>
      <sz val="10"/>
    </font>
    <font>
      <name val="Arial"/>
      <b val="1"/>
      <color rgb="FF993366"/>
      <sz val="10"/>
    </font>
    <font>
      <name val="Arial"/>
      <color rgb="FF993366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0000FF"/>
      <sz val="10"/>
    </font>
    <font>
      <name val="Arial"/>
      <color rgb="FF666666"/>
      <sz val="10"/>
    </font>
    <font>
      <name val="Arial"/>
      <i val="1"/>
      <color rgb="FF666666"/>
      <sz val="10"/>
    </font>
    <font>
      <name val="Arial"/>
      <b val="1"/>
      <color rgb="FFFFFFFF"/>
      <sz val="12"/>
    </font>
    <font>
      <name val="Arial"/>
      <b val="1"/>
      <color rgb="FF000000"/>
      <sz val="11"/>
    </font>
    <font>
      <name val="Arial"/>
      <i val="1"/>
      <color rgb="FF666666"/>
      <sz val="9"/>
    </font>
    <font>
      <name val="Arial"/>
      <color rgb="FF006400"/>
      <sz val="10"/>
    </font>
    <font>
      <name val="Arial"/>
      <b val="1"/>
      <color rgb="FF006400"/>
      <sz val="10"/>
    </font>
    <font>
      <name val="Arial"/>
      <color rgb="FFCC0000"/>
      <sz val="10"/>
    </font>
    <font>
      <name val="Arial"/>
      <color rgb="FF333333"/>
      <sz val="9"/>
    </font>
    <font>
      <name val="Arial"/>
      <b val="1"/>
      <color rgb="FF1F4E79"/>
      <sz val="14"/>
    </font>
    <font>
      <name val="Arial"/>
      <color rgb="FF1F4E79"/>
      <sz val="10"/>
    </font>
    <font>
      <name val="Arial"/>
      <b val="1"/>
      <color rgb="FF1F4E79"/>
      <sz val="12"/>
    </font>
    <font>
      <name val="Arial"/>
      <b val="1"/>
      <color rgb="FF1F4E79"/>
      <sz val="10"/>
    </font>
    <font>
      <name val="Arial"/>
      <b val="1"/>
      <color rgb="FF000000"/>
      <sz val="12"/>
    </font>
    <font>
      <name val="Arial"/>
      <b val="1"/>
      <i val="1"/>
      <color rgb="FF666666"/>
      <sz val="10"/>
    </font>
    <font>
      <name val="Arial"/>
      <color rgb="FF999999"/>
      <sz val="10"/>
    </font>
    <font>
      <name val="Arial"/>
      <i val="1"/>
      <color rgb="FF999999"/>
      <sz val="9"/>
    </font>
    <font>
      <name val="Arial"/>
      <color rgb="FF2E75B6"/>
      <sz val="10"/>
    </font>
    <font>
      <name val="Arial"/>
      <b val="1"/>
      <color rgb="FF2E75B6"/>
      <sz val="10"/>
    </font>
    <font>
      <name val="Arial"/>
      <color rgb="FF5B9BD5"/>
      <sz val="10"/>
    </font>
    <font>
      <name val="Arial"/>
      <b val="1"/>
      <color rgb="FF5B9BD5"/>
      <sz val="10"/>
    </font>
    <font>
      <name val="Arial"/>
      <color rgb="FF9DC3E6"/>
      <sz val="10"/>
    </font>
    <font>
      <name val="Arial"/>
      <b val="1"/>
      <color rgb="FF9DC3E6"/>
      <sz val="10"/>
    </font>
    <font>
      <name val="Arial"/>
      <b val="1"/>
      <i val="1"/>
      <color rgb="FF1F4E79"/>
      <sz val="9"/>
    </font>
    <font>
      <name val="Arial"/>
      <i val="1"/>
      <color rgb="FF000000"/>
      <sz val="10"/>
    </font>
    <font>
      <name val="Arial"/>
      <color rgb="FF000000"/>
      <sz val="9"/>
    </font>
    <font>
      <name val="Arial"/>
      <b val="1"/>
      <color rgb="FFCC4125"/>
      <sz val="10"/>
    </font>
    <font>
      <name val="Arial"/>
      <b val="1"/>
      <i val="1"/>
      <color rgb="FF999999"/>
      <sz val="9"/>
    </font>
    <font>
      <name val="Arial"/>
      <b val="1"/>
      <color rgb="FF990000"/>
      <sz val="10"/>
    </font>
    <font>
      <name val="Arial"/>
      <b val="1"/>
      <color rgb="FF000000"/>
      <sz val="9"/>
    </font>
    <font>
      <name val="Arial"/>
      <b val="1"/>
      <color rgb="FFCC0000"/>
      <sz val="10"/>
    </font>
    <font>
      <name val="Arial"/>
      <i val="1"/>
      <color rgb="FF999999"/>
      <sz val="10"/>
    </font>
    <font>
      <name val="Arial"/>
      <color rgb="FF0000CC"/>
      <sz val="10"/>
    </font>
    <font>
      <name val="Arial"/>
      <b val="1"/>
      <color rgb="FF0000CC"/>
      <sz val="10"/>
    </font>
    <font>
      <name val="Arial"/>
      <i val="1"/>
      <color rgb="FF0000FF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rial"/>
      <b val="1"/>
      <color rgb="FF999999"/>
      <sz val="9"/>
    </font>
    <font>
      <name val="Arial"/>
      <b val="1"/>
      <color rgb="FFCC0000"/>
      <sz val="9"/>
    </font>
    <font>
      <name val="Arial"/>
      <color rgb="FFCC0000"/>
      <sz val="9"/>
    </font>
    <font>
      <name val="Arial"/>
      <b val="1"/>
      <i val="1"/>
      <color rgb="FF666666"/>
      <sz val="9"/>
    </font>
    <font>
      <name val="Arial"/>
      <b val="1"/>
      <color rgb="FF000000"/>
      <sz val="16"/>
    </font>
    <font>
      <name val="Arial"/>
      <color rgb="FF555555"/>
      <sz val="10"/>
    </font>
    <font>
      <name val="Arial"/>
      <i val="1"/>
      <color rgb="FF555555"/>
      <sz val="10"/>
    </font>
    <font>
      <name val="Arial"/>
      <b val="1"/>
      <color rgb="FFFFFFFF"/>
      <sz val="11"/>
    </font>
    <font>
      <name val="Arial"/>
      <color rgb="FF008000"/>
      <sz val="10"/>
    </font>
    <font>
      <name val="Arial"/>
      <color rgb="FFFF0000"/>
      <sz val="10"/>
    </font>
    <font>
      <name val="Arial"/>
      <b val="1"/>
      <color rgb="FFFF0000"/>
      <sz val="10"/>
    </font>
    <font>
      <name val="Arial"/>
      <b val="1"/>
      <color rgb="FF555555"/>
      <sz val="10"/>
    </font>
    <font>
      <name val="Arial"/>
      <b val="1"/>
      <i val="1"/>
      <color rgb="FF555555"/>
      <sz val="10"/>
    </font>
    <font>
      <name val="Arial"/>
      <i val="1"/>
      <color rgb="FFFF0000"/>
      <sz val="10"/>
    </font>
    <font>
      <name val="Arial"/>
      <color rgb="FFFF8C00"/>
      <sz val="10"/>
    </font>
    <font>
      <name val="Arial"/>
      <i val="1"/>
      <color rgb="FF888888"/>
      <sz val="9"/>
    </font>
    <font>
      <name val="Arial"/>
      <b val="1"/>
      <color rgb="FF333333"/>
      <sz val="10"/>
    </font>
    <font>
      <name val="Arial"/>
      <b val="1"/>
      <color rgb="FF006600"/>
      <sz val="10"/>
    </font>
    <font>
      <name val="Arial"/>
      <b val="1"/>
      <i val="1"/>
      <color rgb="FFFFFFFF"/>
      <sz val="11"/>
    </font>
    <font>
      <name val="Arial"/>
      <i val="1"/>
      <color rgb="FF008000"/>
      <sz val="10"/>
    </font>
    <font>
      <name val="Arial"/>
      <b val="1"/>
      <i val="1"/>
      <color rgb="FF008000"/>
      <sz val="10"/>
    </font>
    <font>
      <name val="Arial"/>
      <i val="1"/>
      <color rgb="FF7030A0"/>
      <sz val="10"/>
    </font>
    <font>
      <name val="Arial"/>
      <i val="1"/>
      <color rgb="FF548235"/>
      <sz val="10"/>
    </font>
    <font>
      <name val="Consolas"/>
      <color rgb="FF000000"/>
      <sz val="9"/>
    </font>
    <font>
      <name val="Consolas"/>
      <i val="1"/>
      <color rgb="FF4472C4"/>
      <sz val="9"/>
    </font>
    <font>
      <name val="Consolas"/>
      <b val="1"/>
      <color rgb="FFFFFFFF"/>
      <sz val="11"/>
    </font>
    <font>
      <name val="Arial"/>
      <b val="1"/>
      <color rgb="FFFFFFFF"/>
      <sz val="14"/>
    </font>
    <font>
      <name val="Arial"/>
      <i val="1"/>
      <color rgb="FF5C2D91"/>
      <sz val="10"/>
    </font>
    <font>
      <name val="Arial"/>
      <b val="1"/>
      <i val="1"/>
      <color rgb="FF5C2D91"/>
      <sz val="10"/>
    </font>
    <font>
      <name val="Arial"/>
      <b val="1"/>
      <i val="1"/>
      <color rgb="FFFFFFFF"/>
      <sz val="14"/>
    </font>
    <font>
      <name val="Arial"/>
      <family val="2"/>
      <color rgb="FF000000"/>
      <sz val="12"/>
    </font>
  </fonts>
  <fills count="90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C0C0C0"/>
        <bgColor rgb="FFC0C0C0"/>
      </patternFill>
    </fill>
    <fill>
      <patternFill patternType="solid">
        <fgColor rgb="FFFFD966"/>
        <bgColor rgb="FFFFD966"/>
      </patternFill>
    </fill>
    <fill>
      <patternFill patternType="solid">
        <fgColor rgb="FFCC99FF"/>
        <bgColor rgb="FFCC99FF"/>
      </patternFill>
    </fill>
    <fill>
      <patternFill patternType="solid">
        <fgColor rgb="FFF6B26B"/>
        <bgColor rgb="FFF6B26B"/>
      </patternFill>
    </fill>
    <fill>
      <patternFill patternType="solid">
        <fgColor rgb="FFCCFFFF"/>
        <bgColor rgb="FFCC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FCF305"/>
        <bgColor rgb="FFFCF305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1FB714"/>
        <bgColor rgb="FF1FB714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CC4125"/>
        <bgColor rgb="FFCC4125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FCC99"/>
        <bgColor rgb="FFFFCC99"/>
      </patternFill>
    </fill>
    <fill>
      <patternFill patternType="solid">
        <fgColor rgb="FF000090"/>
        <bgColor rgb="FF000090"/>
      </patternFill>
    </fill>
    <fill>
      <patternFill patternType="solid">
        <fgColor rgb="FF00CCFF"/>
        <bgColor rgb="FF00CCFF"/>
      </patternFill>
    </fill>
    <fill>
      <patternFill patternType="solid">
        <fgColor rgb="FFFFFF99"/>
        <bgColor rgb="FFFFFF99"/>
      </patternFill>
    </fill>
    <fill>
      <patternFill patternType="solid">
        <fgColor rgb="FFDD0806"/>
        <bgColor rgb="FFDD0806"/>
      </patternFill>
    </fill>
    <fill>
      <patternFill patternType="solid">
        <fgColor rgb="FF4600A5"/>
        <bgColor rgb="FF4600A5"/>
      </patternFill>
    </fill>
    <fill>
      <patternFill patternType="solid">
        <fgColor rgb="FF99CCFF"/>
        <bgColor rgb="FF99CCFF"/>
      </patternFill>
    </fill>
    <fill>
      <patternFill patternType="solid">
        <fgColor rgb="FF00ABEA"/>
        <bgColor rgb="FF00ABEA"/>
      </patternFill>
    </fill>
    <fill>
      <patternFill patternType="solid">
        <fgColor rgb="FF0000D4"/>
        <bgColor rgb="FF0000D4"/>
      </patternFill>
    </fill>
    <fill>
      <patternFill patternType="solid">
        <fgColor rgb="FF4A86E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C78D8"/>
        <bgColor rgb="FF3C78D8"/>
      </patternFill>
    </fill>
    <fill>
      <patternFill patternType="solid">
        <fgColor rgb="FF1C45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8D5E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D5E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D0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6D8C3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5C2D91"/>
        <bgColor indexed="64"/>
      </patternFill>
    </fill>
    <fill>
      <patternFill patternType="solid">
        <fgColor rgb="FFE5D6F2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rgb="FFAAAAAA"/>
      </right>
      <top/>
      <bottom/>
      <diagonal/>
    </border>
  </borders>
  <cellStyleXfs count="2">
    <xf numFmtId="0" fontId="19" fillId="0" borderId="26"/>
    <xf numFmtId="0" fontId="19" fillId="0" borderId="26"/>
  </cellStyleXfs>
  <cellXfs count="850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3" borderId="3" pivotButton="0" quotePrefix="0" xfId="0"/>
    <xf numFmtId="0" fontId="1" fillId="4" borderId="4" applyAlignment="1" pivotButton="0" quotePrefix="0" xfId="0">
      <alignment horizontal="left"/>
    </xf>
    <xf numFmtId="0" fontId="1" fillId="5" borderId="4" applyAlignment="1" pivotButton="0" quotePrefix="0" xfId="0">
      <alignment horizontal="left"/>
    </xf>
    <xf numFmtId="0" fontId="1" fillId="6" borderId="4" applyAlignment="1" pivotButton="0" quotePrefix="0" xfId="0">
      <alignment horizontal="left"/>
    </xf>
    <xf numFmtId="0" fontId="1" fillId="7" borderId="4" applyAlignment="1" pivotButton="0" quotePrefix="0" xfId="0">
      <alignment horizontal="left"/>
    </xf>
    <xf numFmtId="0" fontId="1" fillId="8" borderId="4" applyAlignment="1" pivotButton="0" quotePrefix="0" xfId="0">
      <alignment horizontal="left"/>
    </xf>
    <xf numFmtId="0" fontId="1" fillId="9" borderId="4" applyAlignment="1" pivotButton="0" quotePrefix="0" xfId="0">
      <alignment horizontal="left"/>
    </xf>
    <xf numFmtId="0" fontId="1" fillId="10" borderId="4" applyAlignment="1" pivotButton="0" quotePrefix="0" xfId="0">
      <alignment horizontal="left"/>
    </xf>
    <xf numFmtId="0" fontId="1" fillId="11" borderId="4" applyAlignment="1" pivotButton="0" quotePrefix="0" xfId="0">
      <alignment horizontal="left"/>
    </xf>
    <xf numFmtId="0" fontId="1" fillId="11" borderId="5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2" fillId="2" borderId="2" applyAlignment="1" pivotButton="0" quotePrefix="0" xfId="0">
      <alignment horizontal="center" wrapText="1"/>
    </xf>
    <xf numFmtId="0" fontId="2" fillId="3" borderId="6" pivotButton="0" quotePrefix="0" xfId="0"/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left"/>
    </xf>
    <xf numFmtId="0" fontId="3" fillId="3" borderId="7" applyAlignment="1" pivotButton="0" quotePrefix="0" xfId="0">
      <alignment horizontal="left"/>
    </xf>
    <xf numFmtId="2" fontId="2" fillId="2" borderId="2" pivotButton="0" quotePrefix="0" xfId="0"/>
    <xf numFmtId="164" fontId="2" fillId="3" borderId="6" pivotButton="0" quotePrefix="0" xfId="0"/>
    <xf numFmtId="164" fontId="3" fillId="3" borderId="0" applyAlignment="1" pivotButton="0" quotePrefix="0" xfId="0">
      <alignment horizontal="left"/>
    </xf>
    <xf numFmtId="164" fontId="3" fillId="3" borderId="7" applyAlignment="1" pivotButton="0" quotePrefix="0" xfId="0">
      <alignment horizontal="left"/>
    </xf>
    <xf numFmtId="164" fontId="2" fillId="3" borderId="0" applyAlignment="1" pivotButton="0" quotePrefix="0" xfId="0">
      <alignment horizontal="left"/>
    </xf>
    <xf numFmtId="0" fontId="2" fillId="12" borderId="6" pivotButton="0" quotePrefix="0" xfId="0"/>
    <xf numFmtId="0" fontId="3" fillId="12" borderId="0" applyAlignment="1" pivotButton="0" quotePrefix="0" xfId="0">
      <alignment horizontal="left"/>
    </xf>
    <xf numFmtId="0" fontId="3" fillId="12" borderId="7" applyAlignment="1" pivotButton="0" quotePrefix="0" xfId="0">
      <alignment horizontal="left"/>
    </xf>
    <xf numFmtId="164" fontId="2" fillId="12" borderId="6" pivotButton="0" quotePrefix="0" xfId="0"/>
    <xf numFmtId="164" fontId="3" fillId="12" borderId="0" applyAlignment="1" pivotButton="0" quotePrefix="0" xfId="0">
      <alignment horizontal="left"/>
    </xf>
    <xf numFmtId="164" fontId="3" fillId="12" borderId="7" applyAlignment="1" pivotButton="0" quotePrefix="0" xfId="0">
      <alignment horizontal="left"/>
    </xf>
    <xf numFmtId="0" fontId="2" fillId="13" borderId="6" pivotButton="0" quotePrefix="0" xfId="0"/>
    <xf numFmtId="0" fontId="3" fillId="13" borderId="0" applyAlignment="1" pivotButton="0" quotePrefix="0" xfId="0">
      <alignment horizontal="left"/>
    </xf>
    <xf numFmtId="0" fontId="3" fillId="13" borderId="7" applyAlignment="1" pivotButton="0" quotePrefix="0" xfId="0">
      <alignment horizontal="left"/>
    </xf>
    <xf numFmtId="164" fontId="2" fillId="13" borderId="6" pivotButton="0" quotePrefix="0" xfId="0"/>
    <xf numFmtId="164" fontId="3" fillId="13" borderId="0" applyAlignment="1" pivotButton="0" quotePrefix="0" xfId="0">
      <alignment horizontal="left"/>
    </xf>
    <xf numFmtId="164" fontId="3" fillId="13" borderId="7" applyAlignment="1" pivotButton="0" quotePrefix="0" xfId="0">
      <alignment horizontal="left"/>
    </xf>
    <xf numFmtId="0" fontId="2" fillId="14" borderId="6" pivotButton="0" quotePrefix="0" xfId="0"/>
    <xf numFmtId="0" fontId="3" fillId="14" borderId="0" applyAlignment="1" pivotButton="0" quotePrefix="0" xfId="0">
      <alignment horizontal="left"/>
    </xf>
    <xf numFmtId="0" fontId="3" fillId="14" borderId="7" applyAlignment="1" pivotButton="0" quotePrefix="0" xfId="0">
      <alignment horizontal="left"/>
    </xf>
    <xf numFmtId="164" fontId="2" fillId="14" borderId="6" pivotButton="0" quotePrefix="0" xfId="0"/>
    <xf numFmtId="164" fontId="3" fillId="14" borderId="0" applyAlignment="1" pivotButton="0" quotePrefix="0" xfId="0">
      <alignment horizontal="left"/>
    </xf>
    <xf numFmtId="164" fontId="3" fillId="14" borderId="7" applyAlignment="1" pivotButton="0" quotePrefix="0" xfId="0">
      <alignment horizontal="left"/>
    </xf>
    <xf numFmtId="0" fontId="2" fillId="15" borderId="6" pivotButton="0" quotePrefix="0" xfId="0"/>
    <xf numFmtId="0" fontId="3" fillId="15" borderId="0" applyAlignment="1" pivotButton="0" quotePrefix="0" xfId="0">
      <alignment horizontal="left"/>
    </xf>
    <xf numFmtId="0" fontId="3" fillId="15" borderId="7" applyAlignment="1" pivotButton="0" quotePrefix="0" xfId="0">
      <alignment horizontal="left"/>
    </xf>
    <xf numFmtId="164" fontId="3" fillId="15" borderId="0" applyAlignment="1" pivotButton="0" quotePrefix="0" xfId="0">
      <alignment horizontal="left"/>
    </xf>
    <xf numFmtId="164" fontId="3" fillId="15" borderId="7" applyAlignment="1" pivotButton="0" quotePrefix="0" xfId="0">
      <alignment horizontal="left"/>
    </xf>
    <xf numFmtId="0" fontId="2" fillId="16" borderId="6" pivotButton="0" quotePrefix="0" xfId="0"/>
    <xf numFmtId="0" fontId="3" fillId="16" borderId="0" applyAlignment="1" pivotButton="0" quotePrefix="0" xfId="0">
      <alignment horizontal="left"/>
    </xf>
    <xf numFmtId="0" fontId="3" fillId="16" borderId="7" applyAlignment="1" pivotButton="0" quotePrefix="0" xfId="0">
      <alignment horizontal="left"/>
    </xf>
    <xf numFmtId="164" fontId="2" fillId="16" borderId="6" pivotButton="0" quotePrefix="0" xfId="0"/>
    <xf numFmtId="164" fontId="3" fillId="16" borderId="0" applyAlignment="1" pivotButton="0" quotePrefix="0" xfId="0">
      <alignment horizontal="left"/>
    </xf>
    <xf numFmtId="164" fontId="3" fillId="16" borderId="7" applyAlignment="1" pivotButton="0" quotePrefix="0" xfId="0">
      <alignment horizontal="left"/>
    </xf>
    <xf numFmtId="0" fontId="2" fillId="17" borderId="6" pivotButton="0" quotePrefix="0" xfId="0"/>
    <xf numFmtId="0" fontId="3" fillId="17" borderId="0" applyAlignment="1" pivotButton="0" quotePrefix="0" xfId="0">
      <alignment horizontal="left"/>
    </xf>
    <xf numFmtId="0" fontId="3" fillId="17" borderId="7" applyAlignment="1" pivotButton="0" quotePrefix="0" xfId="0">
      <alignment horizontal="left"/>
    </xf>
    <xf numFmtId="0" fontId="2" fillId="2" borderId="2" pivotButton="0" quotePrefix="0" xfId="0"/>
    <xf numFmtId="164" fontId="2" fillId="17" borderId="11" pivotButton="0" quotePrefix="0" xfId="0"/>
    <xf numFmtId="164" fontId="3" fillId="17" borderId="12" applyAlignment="1" pivotButton="0" quotePrefix="0" xfId="0">
      <alignment horizontal="left"/>
    </xf>
    <xf numFmtId="164" fontId="3" fillId="17" borderId="13" applyAlignment="1" pivotButton="0" quotePrefix="0" xfId="0">
      <alignment horizontal="left"/>
    </xf>
    <xf numFmtId="164" fontId="2" fillId="3" borderId="0" applyAlignment="1" pivotButton="0" quotePrefix="0" xfId="0">
      <alignment horizontal="left" wrapText="1"/>
    </xf>
    <xf numFmtId="164" fontId="2" fillId="3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9" borderId="1" pivotButton="0" quotePrefix="0" xfId="0"/>
    <xf numFmtId="2" fontId="2" fillId="18" borderId="1" pivotButton="0" quotePrefix="0" xfId="0"/>
    <xf numFmtId="2" fontId="2" fillId="4" borderId="1" applyAlignment="1" pivotButton="0" quotePrefix="0" xfId="0">
      <alignment horizontal="left"/>
    </xf>
    <xf numFmtId="2" fontId="2" fillId="5" borderId="1" applyAlignment="1" pivotButton="0" quotePrefix="0" xfId="0">
      <alignment horizontal="left"/>
    </xf>
    <xf numFmtId="2" fontId="2" fillId="6" borderId="1" applyAlignment="1" pivotButton="0" quotePrefix="0" xfId="0">
      <alignment horizontal="left"/>
    </xf>
    <xf numFmtId="2" fontId="2" fillId="7" borderId="1" applyAlignment="1" pivotButton="0" quotePrefix="0" xfId="0">
      <alignment horizontal="left"/>
    </xf>
    <xf numFmtId="2" fontId="2" fillId="8" borderId="1" applyAlignment="1" pivotButton="0" quotePrefix="0" xfId="0">
      <alignment horizontal="left"/>
    </xf>
    <xf numFmtId="2" fontId="2" fillId="9" borderId="1" applyAlignment="1" pivotButton="0" quotePrefix="0" xfId="0">
      <alignment horizontal="left"/>
    </xf>
    <xf numFmtId="2" fontId="2" fillId="10" borderId="1" applyAlignment="1" pivotButton="0" quotePrefix="0" xfId="0">
      <alignment horizontal="left"/>
    </xf>
    <xf numFmtId="2" fontId="2" fillId="11" borderId="1" applyAlignment="1" pivotButton="0" quotePrefix="0" xfId="0">
      <alignment horizontal="left"/>
    </xf>
    <xf numFmtId="2" fontId="2" fillId="3" borderId="0" applyAlignment="1" pivotButton="0" quotePrefix="0" xfId="0">
      <alignment horizontal="left"/>
    </xf>
    <xf numFmtId="49" fontId="2" fillId="4" borderId="1" applyAlignment="1" pivotButton="0" quotePrefix="0" xfId="0">
      <alignment horizontal="left"/>
    </xf>
    <xf numFmtId="49" fontId="2" fillId="5" borderId="1" applyAlignment="1" pivotButton="0" quotePrefix="0" xfId="0">
      <alignment horizontal="left"/>
    </xf>
    <xf numFmtId="49" fontId="2" fillId="6" borderId="1" applyAlignment="1" pivotButton="0" quotePrefix="0" xfId="0">
      <alignment horizontal="left"/>
    </xf>
    <xf numFmtId="49" fontId="2" fillId="7" borderId="1" applyAlignment="1" pivotButton="0" quotePrefix="0" xfId="0">
      <alignment horizontal="left"/>
    </xf>
    <xf numFmtId="49" fontId="2" fillId="8" borderId="1" applyAlignment="1" pivotButton="0" quotePrefix="0" xfId="0">
      <alignment horizontal="left"/>
    </xf>
    <xf numFmtId="49" fontId="2" fillId="9" borderId="1" applyAlignment="1" pivotButton="0" quotePrefix="0" xfId="0">
      <alignment horizontal="left"/>
    </xf>
    <xf numFmtId="49" fontId="2" fillId="10" borderId="1" applyAlignment="1" pivotButton="0" quotePrefix="0" xfId="0">
      <alignment horizontal="left"/>
    </xf>
    <xf numFmtId="49" fontId="2" fillId="11" borderId="1" applyAlignment="1" pivotButton="0" quotePrefix="0" xfId="0">
      <alignment horizontal="left"/>
    </xf>
    <xf numFmtId="165" fontId="2" fillId="5" borderId="1" applyAlignment="1" pivotButton="0" quotePrefix="0" xfId="0">
      <alignment horizontal="left"/>
    </xf>
    <xf numFmtId="165" fontId="2" fillId="7" borderId="1" applyAlignment="1" pivotButton="0" quotePrefix="0" xfId="0">
      <alignment horizontal="left"/>
    </xf>
    <xf numFmtId="165" fontId="2" fillId="8" borderId="1" applyAlignment="1" pivotButton="0" quotePrefix="0" xfId="0">
      <alignment horizontal="left"/>
    </xf>
    <xf numFmtId="165" fontId="2" fillId="9" borderId="1" applyAlignment="1" pivotButton="0" quotePrefix="0" xfId="0">
      <alignment horizontal="left"/>
    </xf>
    <xf numFmtId="165" fontId="2" fillId="10" borderId="1" applyAlignment="1" pivotButton="0" quotePrefix="0" xfId="0">
      <alignment horizontal="left"/>
    </xf>
    <xf numFmtId="165" fontId="2" fillId="11" borderId="1" applyAlignment="1" pivotButton="0" quotePrefix="0" xfId="0">
      <alignment horizontal="left"/>
    </xf>
    <xf numFmtId="165" fontId="2" fillId="6" borderId="1" applyAlignment="1" pivotButton="0" quotePrefix="0" xfId="0">
      <alignment horizontal="left"/>
    </xf>
    <xf numFmtId="0" fontId="2" fillId="9" borderId="1" pivotButton="0" quotePrefix="0" xfId="0"/>
    <xf numFmtId="0" fontId="2" fillId="18" borderId="1" pivotButton="0" quotePrefix="0" xfId="0"/>
    <xf numFmtId="0" fontId="2" fillId="19" borderId="1" pivotButton="0" quotePrefix="0" xfId="0"/>
    <xf numFmtId="166" fontId="2" fillId="4" borderId="1" applyAlignment="1" pivotButton="0" quotePrefix="0" xfId="0">
      <alignment horizontal="left"/>
    </xf>
    <xf numFmtId="166" fontId="2" fillId="5" borderId="1" applyAlignment="1" pivotButton="0" quotePrefix="0" xfId="0">
      <alignment horizontal="left"/>
    </xf>
    <xf numFmtId="166" fontId="2" fillId="6" borderId="1" applyAlignment="1" pivotButton="0" quotePrefix="0" xfId="0">
      <alignment horizontal="left"/>
    </xf>
    <xf numFmtId="166" fontId="2" fillId="7" borderId="1" applyAlignment="1" pivotButton="0" quotePrefix="0" xfId="0">
      <alignment horizontal="left"/>
    </xf>
    <xf numFmtId="166" fontId="2" fillId="8" borderId="1" applyAlignment="1" pivotButton="0" quotePrefix="0" xfId="0">
      <alignment horizontal="left"/>
    </xf>
    <xf numFmtId="166" fontId="2" fillId="9" borderId="1" applyAlignment="1" pivotButton="0" quotePrefix="0" xfId="0">
      <alignment horizontal="left"/>
    </xf>
    <xf numFmtId="166" fontId="2" fillId="10" borderId="1" applyAlignment="1" pivotButton="0" quotePrefix="0" xfId="0">
      <alignment horizontal="left"/>
    </xf>
    <xf numFmtId="166" fontId="2" fillId="11" borderId="1" applyAlignment="1" pivotButton="0" quotePrefix="0" xfId="0">
      <alignment horizontal="left"/>
    </xf>
    <xf numFmtId="0" fontId="2" fillId="9" borderId="0" pivotButton="0" quotePrefix="0" xfId="0"/>
    <xf numFmtId="0" fontId="2" fillId="20" borderId="1" pivotButton="0" quotePrefix="0" xfId="0"/>
    <xf numFmtId="165" fontId="2" fillId="4" borderId="1" applyAlignment="1" pivotButton="0" quotePrefix="0" xfId="0">
      <alignment horizontal="left"/>
    </xf>
    <xf numFmtId="165" fontId="2" fillId="9" borderId="1" pivotButton="0" quotePrefix="0" xfId="0"/>
    <xf numFmtId="165" fontId="2" fillId="20" borderId="1" pivotButton="0" quotePrefix="0" xfId="0"/>
    <xf numFmtId="165" fontId="2" fillId="3" borderId="0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0" fontId="2" fillId="6" borderId="1" applyAlignment="1" pivotButton="0" quotePrefix="0" xfId="0">
      <alignment horizontal="left"/>
    </xf>
    <xf numFmtId="0" fontId="2" fillId="7" borderId="1" applyAlignment="1" pivotButton="0" quotePrefix="0" xfId="0">
      <alignment horizontal="left"/>
    </xf>
    <xf numFmtId="0" fontId="2" fillId="8" borderId="1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10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165" fontId="2" fillId="5" borderId="1" pivotButton="0" quotePrefix="0" xfId="0"/>
    <xf numFmtId="165" fontId="3" fillId="4" borderId="1" applyAlignment="1" pivotButton="0" quotePrefix="0" xfId="0">
      <alignment horizontal="left"/>
    </xf>
    <xf numFmtId="165" fontId="3" fillId="5" borderId="1" applyAlignment="1" pivotButton="0" quotePrefix="0" xfId="0">
      <alignment horizontal="left"/>
    </xf>
    <xf numFmtId="165" fontId="3" fillId="6" borderId="1" applyAlignment="1" pivotButton="0" quotePrefix="0" xfId="0">
      <alignment horizontal="left"/>
    </xf>
    <xf numFmtId="165" fontId="3" fillId="7" borderId="1" applyAlignment="1" pivotButton="0" quotePrefix="0" xfId="0">
      <alignment horizontal="left"/>
    </xf>
    <xf numFmtId="165" fontId="3" fillId="8" borderId="1" applyAlignment="1" pivotButton="0" quotePrefix="0" xfId="0">
      <alignment horizontal="left"/>
    </xf>
    <xf numFmtId="165" fontId="3" fillId="9" borderId="1" applyAlignment="1" pivotButton="0" quotePrefix="0" xfId="0">
      <alignment horizontal="left"/>
    </xf>
    <xf numFmtId="165" fontId="3" fillId="10" borderId="1" applyAlignment="1" pivotButton="0" quotePrefix="0" xfId="0">
      <alignment horizontal="left"/>
    </xf>
    <xf numFmtId="165" fontId="3" fillId="11" borderId="1" applyAlignment="1" pivotButton="0" quotePrefix="0" xfId="0">
      <alignment horizontal="left"/>
    </xf>
    <xf numFmtId="165" fontId="2" fillId="21" borderId="1" pivotButton="0" quotePrefix="0" xfId="0"/>
    <xf numFmtId="165" fontId="2" fillId="22" borderId="1" pivotButton="0" quotePrefix="0" xfId="0"/>
    <xf numFmtId="165" fontId="2" fillId="6" borderId="1" pivotButton="0" quotePrefix="0" xfId="0"/>
    <xf numFmtId="165" fontId="2" fillId="18" borderId="1" pivotButton="0" quotePrefix="0" xfId="0"/>
    <xf numFmtId="165" fontId="2" fillId="23" borderId="1" pivotButton="0" quotePrefix="0" xfId="0"/>
    <xf numFmtId="0" fontId="2" fillId="3" borderId="0" applyAlignment="1" pivotButton="0" quotePrefix="0" xfId="0">
      <alignment vertical="center" wrapText="1"/>
    </xf>
    <xf numFmtId="2" fontId="2" fillId="3" borderId="0" pivotButton="0" quotePrefix="0" xfId="0"/>
    <xf numFmtId="2" fontId="2" fillId="2" borderId="1" pivotButton="0" quotePrefix="0" xfId="0"/>
    <xf numFmtId="2" fontId="2" fillId="24" borderId="1" pivotButton="0" quotePrefix="0" xfId="0"/>
    <xf numFmtId="0" fontId="2" fillId="2" borderId="1" pivotButton="0" quotePrefix="0" xfId="0"/>
    <xf numFmtId="0" fontId="2" fillId="24" borderId="1" pivotButton="0" quotePrefix="0" xfId="0"/>
    <xf numFmtId="165" fontId="2" fillId="2" borderId="1" pivotButton="0" quotePrefix="0" xfId="0"/>
    <xf numFmtId="165" fontId="2" fillId="25" borderId="1" pivotButton="0" quotePrefix="0" xfId="0"/>
    <xf numFmtId="2" fontId="2" fillId="5" borderId="1" pivotButton="0" quotePrefix="0" xfId="0"/>
    <xf numFmtId="2" fontId="2" fillId="21" borderId="1" pivotButton="0" quotePrefix="0" xfId="0"/>
    <xf numFmtId="2" fontId="2" fillId="22" borderId="1" pivotButton="0" quotePrefix="0" xfId="0"/>
    <xf numFmtId="2" fontId="2" fillId="6" borderId="1" pivotButton="0" quotePrefix="0" xfId="0"/>
    <xf numFmtId="2" fontId="2" fillId="23" borderId="1" pivotButton="0" quotePrefix="0" xfId="0"/>
    <xf numFmtId="0" fontId="4" fillId="2" borderId="1" pivotButton="0" quotePrefix="0" xfId="0"/>
    <xf numFmtId="0" fontId="4" fillId="26" borderId="1" pivotButton="0" quotePrefix="0" xfId="0"/>
    <xf numFmtId="2" fontId="4" fillId="4" borderId="1" applyAlignment="1" pivotButton="0" quotePrefix="0" xfId="0">
      <alignment horizontal="left"/>
    </xf>
    <xf numFmtId="2" fontId="4" fillId="5" borderId="1" applyAlignment="1" pivotButton="0" quotePrefix="0" xfId="0">
      <alignment horizontal="left"/>
    </xf>
    <xf numFmtId="2" fontId="4" fillId="6" borderId="1" applyAlignment="1" pivotButton="0" quotePrefix="0" xfId="0">
      <alignment horizontal="left"/>
    </xf>
    <xf numFmtId="2" fontId="4" fillId="7" borderId="1" applyAlignment="1" pivotButton="0" quotePrefix="0" xfId="0">
      <alignment horizontal="left"/>
    </xf>
    <xf numFmtId="2" fontId="4" fillId="8" borderId="1" applyAlignment="1" pivotButton="0" quotePrefix="0" xfId="0">
      <alignment horizontal="left"/>
    </xf>
    <xf numFmtId="2" fontId="4" fillId="9" borderId="1" applyAlignment="1" pivotButton="0" quotePrefix="0" xfId="0">
      <alignment horizontal="left"/>
    </xf>
    <xf numFmtId="2" fontId="4" fillId="10" borderId="1" applyAlignment="1" pivotButton="0" quotePrefix="0" xfId="0">
      <alignment horizontal="left"/>
    </xf>
    <xf numFmtId="2" fontId="4" fillId="11" borderId="1" applyAlignment="1" pivotButton="0" quotePrefix="0" xfId="0">
      <alignment horizontal="left"/>
    </xf>
    <xf numFmtId="2" fontId="2" fillId="27" borderId="10" pivotButton="0" quotePrefix="0" xfId="0"/>
    <xf numFmtId="2" fontId="3" fillId="4" borderId="10" applyAlignment="1" pivotButton="0" quotePrefix="0" xfId="0">
      <alignment horizontal="left"/>
    </xf>
    <xf numFmtId="2" fontId="3" fillId="5" borderId="10" applyAlignment="1" pivotButton="0" quotePrefix="0" xfId="0">
      <alignment horizontal="left"/>
    </xf>
    <xf numFmtId="2" fontId="3" fillId="6" borderId="10" applyAlignment="1" pivotButton="0" quotePrefix="0" xfId="0">
      <alignment horizontal="left"/>
    </xf>
    <xf numFmtId="2" fontId="3" fillId="7" borderId="10" applyAlignment="1" pivotButton="0" quotePrefix="0" xfId="0">
      <alignment horizontal="left"/>
    </xf>
    <xf numFmtId="2" fontId="3" fillId="8" borderId="10" applyAlignment="1" pivotButton="0" quotePrefix="0" xfId="0">
      <alignment horizontal="left"/>
    </xf>
    <xf numFmtId="2" fontId="3" fillId="9" borderId="10" applyAlignment="1" pivotButton="0" quotePrefix="0" xfId="0">
      <alignment horizontal="left"/>
    </xf>
    <xf numFmtId="2" fontId="3" fillId="10" borderId="10" applyAlignment="1" pivotButton="0" quotePrefix="0" xfId="0">
      <alignment horizontal="left"/>
    </xf>
    <xf numFmtId="2" fontId="3" fillId="11" borderId="10" applyAlignment="1" pivotButton="0" quotePrefix="0" xfId="0">
      <alignment horizontal="left"/>
    </xf>
    <xf numFmtId="0" fontId="2" fillId="27" borderId="1" pivotButton="0" quotePrefix="0" xfId="0"/>
    <xf numFmtId="2" fontId="3" fillId="4" borderId="1" applyAlignment="1" pivotButton="0" quotePrefix="0" xfId="0">
      <alignment horizontal="left"/>
    </xf>
    <xf numFmtId="2" fontId="3" fillId="5" borderId="1" applyAlignment="1" pivotButton="0" quotePrefix="0" xfId="0">
      <alignment horizontal="left"/>
    </xf>
    <xf numFmtId="2" fontId="3" fillId="6" borderId="1" applyAlignment="1" pivotButton="0" quotePrefix="0" xfId="0">
      <alignment horizontal="left"/>
    </xf>
    <xf numFmtId="2" fontId="3" fillId="7" borderId="1" applyAlignment="1" pivotButton="0" quotePrefix="0" xfId="0">
      <alignment horizontal="left"/>
    </xf>
    <xf numFmtId="2" fontId="3" fillId="8" borderId="1" applyAlignment="1" pivotButton="0" quotePrefix="0" xfId="0">
      <alignment horizontal="left"/>
    </xf>
    <xf numFmtId="2" fontId="3" fillId="9" borderId="1" applyAlignment="1" pivotButton="0" quotePrefix="0" xfId="0">
      <alignment horizontal="left"/>
    </xf>
    <xf numFmtId="2" fontId="3" fillId="10" borderId="1" applyAlignment="1" pivotButton="0" quotePrefix="0" xfId="0">
      <alignment horizontal="left"/>
    </xf>
    <xf numFmtId="2" fontId="3" fillId="11" borderId="1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2" fontId="2" fillId="27" borderId="1" pivotButton="0" quotePrefix="0" xfId="0"/>
    <xf numFmtId="2" fontId="3" fillId="2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0" fontId="3" fillId="7" borderId="1" applyAlignment="1" pivotButton="0" quotePrefix="0" xfId="0">
      <alignment horizontal="left"/>
    </xf>
    <xf numFmtId="0" fontId="3" fillId="8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3" fillId="10" borderId="1" applyAlignment="1" pivotButton="0" quotePrefix="0" xfId="0">
      <alignment horizontal="left"/>
    </xf>
    <xf numFmtId="0" fontId="3" fillId="11" borderId="1" applyAlignment="1" pivotButton="0" quotePrefix="0" xfId="0">
      <alignment horizontal="left"/>
    </xf>
    <xf numFmtId="0" fontId="4" fillId="3" borderId="0" pivotButton="0" quotePrefix="0" xfId="0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vertical="center" wrapText="1"/>
    </xf>
    <xf numFmtId="2" fontId="2" fillId="28" borderId="2" pivotButton="0" quotePrefix="0" xfId="0"/>
    <xf numFmtId="164" fontId="2" fillId="3" borderId="1" pivotButton="0" quotePrefix="0" xfId="0"/>
    <xf numFmtId="164" fontId="3" fillId="3" borderId="1" applyAlignment="1" pivotButton="0" quotePrefix="0" xfId="0">
      <alignment horizontal="left"/>
    </xf>
    <xf numFmtId="164" fontId="2" fillId="12" borderId="1" pivotButton="0" quotePrefix="0" xfId="0"/>
    <xf numFmtId="164" fontId="3" fillId="12" borderId="1" applyAlignment="1" pivotButton="0" quotePrefix="0" xfId="0">
      <alignment horizontal="left"/>
    </xf>
    <xf numFmtId="164" fontId="2" fillId="13" borderId="1" pivotButton="0" quotePrefix="0" xfId="0"/>
    <xf numFmtId="164" fontId="3" fillId="13" borderId="1" applyAlignment="1" pivotButton="0" quotePrefix="0" xfId="0">
      <alignment horizontal="left"/>
    </xf>
    <xf numFmtId="164" fontId="2" fillId="14" borderId="1" pivotButton="0" quotePrefix="0" xfId="0"/>
    <xf numFmtId="164" fontId="3" fillId="14" borderId="1" applyAlignment="1" pivotButton="0" quotePrefix="0" xfId="0">
      <alignment horizontal="left"/>
    </xf>
    <xf numFmtId="0" fontId="2" fillId="15" borderId="1" pivotButton="0" quotePrefix="0" xfId="0"/>
    <xf numFmtId="164" fontId="3" fillId="15" borderId="1" applyAlignment="1" pivotButton="0" quotePrefix="0" xfId="0">
      <alignment horizontal="left"/>
    </xf>
    <xf numFmtId="164" fontId="2" fillId="16" borderId="1" pivotButton="0" quotePrefix="0" xfId="0"/>
    <xf numFmtId="164" fontId="3" fillId="16" borderId="1" applyAlignment="1" pivotButton="0" quotePrefix="0" xfId="0">
      <alignment horizontal="left"/>
    </xf>
    <xf numFmtId="0" fontId="2" fillId="28" borderId="2" pivotButton="0" quotePrefix="0" xfId="0"/>
    <xf numFmtId="164" fontId="2" fillId="17" borderId="1" pivotButton="0" quotePrefix="0" xfId="0"/>
    <xf numFmtId="164" fontId="3" fillId="17" borderId="1" applyAlignment="1" pivotButton="0" quotePrefix="0" xfId="0">
      <alignment horizontal="left"/>
    </xf>
    <xf numFmtId="0" fontId="4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29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left"/>
    </xf>
    <xf numFmtId="0" fontId="4" fillId="24" borderId="0" applyAlignment="1" pivotButton="0" quotePrefix="0" xfId="0">
      <alignment horizontal="left"/>
    </xf>
    <xf numFmtId="0" fontId="2" fillId="30" borderId="0" pivotButton="0" quotePrefix="0" xfId="0"/>
    <xf numFmtId="0" fontId="2" fillId="21" borderId="0" applyAlignment="1" pivotButton="0" quotePrefix="0" xfId="0">
      <alignment horizontal="left"/>
    </xf>
    <xf numFmtId="0" fontId="2" fillId="31" borderId="0" applyAlignment="1" pivotButton="0" quotePrefix="0" xfId="0">
      <alignment horizontal="left"/>
    </xf>
    <xf numFmtId="0" fontId="2" fillId="32" borderId="0" applyAlignment="1" pivotButton="0" quotePrefix="0" xfId="0">
      <alignment horizontal="left"/>
    </xf>
    <xf numFmtId="0" fontId="2" fillId="6" borderId="0" applyAlignment="1" pivotButton="0" quotePrefix="0" xfId="0">
      <alignment horizontal="left"/>
    </xf>
    <xf numFmtId="0" fontId="2" fillId="33" borderId="0" applyAlignment="1" pivotButton="0" quotePrefix="0" xfId="0">
      <alignment horizontal="left"/>
    </xf>
    <xf numFmtId="0" fontId="2" fillId="8" borderId="0" applyAlignment="1" pivotButton="0" quotePrefix="0" xfId="0">
      <alignment horizontal="left"/>
    </xf>
    <xf numFmtId="0" fontId="2" fillId="10" borderId="0" applyAlignment="1" pivotButton="0" quotePrefix="0" xfId="0">
      <alignment horizontal="left"/>
    </xf>
    <xf numFmtId="0" fontId="2" fillId="34" borderId="0" applyAlignment="1" pivotButton="0" quotePrefix="0" xfId="0">
      <alignment horizontal="left"/>
    </xf>
    <xf numFmtId="0" fontId="2" fillId="7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2" fontId="2" fillId="27" borderId="0" pivotButton="0" quotePrefix="0" xfId="0"/>
    <xf numFmtId="2" fontId="2" fillId="24" borderId="0" pivotButton="0" quotePrefix="0" xfId="0"/>
    <xf numFmtId="2" fontId="2" fillId="21" borderId="0" applyAlignment="1" pivotButton="0" quotePrefix="0" xfId="0">
      <alignment horizontal="left"/>
    </xf>
    <xf numFmtId="2" fontId="2" fillId="31" borderId="0" applyAlignment="1" pivotButton="0" quotePrefix="0" xfId="0">
      <alignment horizontal="left"/>
    </xf>
    <xf numFmtId="2" fontId="2" fillId="32" borderId="0" applyAlignment="1" pivotButton="0" quotePrefix="0" xfId="0">
      <alignment horizontal="left"/>
    </xf>
    <xf numFmtId="2" fontId="2" fillId="6" borderId="0" applyAlignment="1" pivotButton="0" quotePrefix="0" xfId="0">
      <alignment horizontal="left"/>
    </xf>
    <xf numFmtId="2" fontId="2" fillId="33" borderId="0" applyAlignment="1" pivotButton="0" quotePrefix="0" xfId="0">
      <alignment horizontal="left"/>
    </xf>
    <xf numFmtId="2" fontId="2" fillId="8" borderId="0" applyAlignment="1" pivotButton="0" quotePrefix="0" xfId="0">
      <alignment horizontal="left"/>
    </xf>
    <xf numFmtId="2" fontId="2" fillId="10" borderId="0" applyAlignment="1" pivotButton="0" quotePrefix="0" xfId="0">
      <alignment horizontal="left"/>
    </xf>
    <xf numFmtId="2" fontId="2" fillId="34" borderId="0" applyAlignment="1" pivotButton="0" quotePrefix="0" xfId="0">
      <alignment horizontal="left"/>
    </xf>
    <xf numFmtId="2" fontId="2" fillId="7" borderId="0" applyAlignment="1" pivotButton="0" quotePrefix="0" xfId="0">
      <alignment horizontal="left"/>
    </xf>
    <xf numFmtId="2" fontId="2" fillId="9" borderId="0" applyAlignment="1" pivotButton="0" quotePrefix="0" xfId="0">
      <alignment horizontal="left"/>
    </xf>
    <xf numFmtId="165" fontId="2" fillId="7" borderId="0" applyAlignment="1" pivotButton="0" quotePrefix="0" xfId="0">
      <alignment horizontal="left"/>
    </xf>
    <xf numFmtId="165" fontId="2" fillId="9" borderId="0" applyAlignment="1" pivotButton="0" quotePrefix="0" xfId="0">
      <alignment horizontal="left"/>
    </xf>
    <xf numFmtId="0" fontId="2" fillId="27" borderId="0" pivotButton="0" quotePrefix="0" xfId="0"/>
    <xf numFmtId="0" fontId="2" fillId="24" borderId="0" pivotButton="0" quotePrefix="0" xfId="0"/>
    <xf numFmtId="165" fontId="2" fillId="21" borderId="0" applyAlignment="1" pivotButton="0" quotePrefix="0" xfId="0">
      <alignment horizontal="left"/>
    </xf>
    <xf numFmtId="165" fontId="2" fillId="31" borderId="0" applyAlignment="1" pivotButton="0" quotePrefix="0" xfId="0">
      <alignment horizontal="left"/>
    </xf>
    <xf numFmtId="165" fontId="2" fillId="32" borderId="0" applyAlignment="1" pivotButton="0" quotePrefix="0" xfId="0">
      <alignment horizontal="left"/>
    </xf>
    <xf numFmtId="165" fontId="2" fillId="6" borderId="0" applyAlignment="1" pivotButton="0" quotePrefix="0" xfId="0">
      <alignment horizontal="left"/>
    </xf>
    <xf numFmtId="165" fontId="2" fillId="33" borderId="0" applyAlignment="1" pivotButton="0" quotePrefix="0" xfId="0">
      <alignment horizontal="left"/>
    </xf>
    <xf numFmtId="165" fontId="2" fillId="8" borderId="0" applyAlignment="1" pivotButton="0" quotePrefix="0" xfId="0">
      <alignment horizontal="left"/>
    </xf>
    <xf numFmtId="165" fontId="2" fillId="10" borderId="0" applyAlignment="1" pivotButton="0" quotePrefix="0" xfId="0">
      <alignment horizontal="left"/>
    </xf>
    <xf numFmtId="165" fontId="2" fillId="34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2" fontId="2" fillId="18" borderId="0" pivotButton="0" quotePrefix="0" xfId="0"/>
    <xf numFmtId="2" fontId="2" fillId="0" borderId="0" applyAlignment="1" pivotButton="0" quotePrefix="0" xfId="0">
      <alignment horizontal="left"/>
    </xf>
    <xf numFmtId="0" fontId="2" fillId="18" borderId="0" pivotButton="0" quotePrefix="0" xfId="0"/>
    <xf numFmtId="0" fontId="2" fillId="2" borderId="0" pivotButton="0" quotePrefix="0" xfId="0"/>
    <xf numFmtId="167" fontId="2" fillId="33" borderId="0" applyAlignment="1" pivotButton="0" quotePrefix="0" xfId="0">
      <alignment horizontal="left"/>
    </xf>
    <xf numFmtId="167" fontId="2" fillId="8" borderId="0" applyAlignment="1" pivotButton="0" quotePrefix="0" xfId="0">
      <alignment horizontal="left"/>
    </xf>
    <xf numFmtId="167" fontId="2" fillId="10" borderId="0" applyAlignment="1" pivotButton="0" quotePrefix="0" xfId="0">
      <alignment horizontal="left"/>
    </xf>
    <xf numFmtId="165" fontId="2" fillId="25" borderId="0" pivotButton="0" quotePrefix="0" xfId="0"/>
    <xf numFmtId="165" fontId="2" fillId="20" borderId="0" pivotButton="0" quotePrefix="0" xfId="0"/>
    <xf numFmtId="0" fontId="2" fillId="20" borderId="0" pivotButton="0" quotePrefix="0" xfId="0"/>
    <xf numFmtId="0" fontId="4" fillId="3" borderId="0" applyAlignment="1" pivotButton="0" quotePrefix="0" xfId="0">
      <alignment horizontal="right"/>
    </xf>
    <xf numFmtId="165" fontId="4" fillId="0" borderId="0" pivotButton="0" quotePrefix="0" xfId="0"/>
    <xf numFmtId="0" fontId="4" fillId="2" borderId="0" pivotButton="0" quotePrefix="0" xfId="0"/>
    <xf numFmtId="0" fontId="7" fillId="2" borderId="0" pivotButton="0" quotePrefix="0" xfId="0"/>
    <xf numFmtId="164" fontId="2" fillId="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left"/>
    </xf>
    <xf numFmtId="164" fontId="2" fillId="12" borderId="0" pivotButton="0" quotePrefix="0" xfId="0"/>
    <xf numFmtId="164" fontId="8" fillId="12" borderId="0" applyAlignment="1" pivotButton="0" quotePrefix="0" xfId="0">
      <alignment horizontal="left"/>
    </xf>
    <xf numFmtId="165" fontId="2" fillId="12" borderId="0" pivotButton="0" quotePrefix="0" xfId="0"/>
    <xf numFmtId="165" fontId="2" fillId="2" borderId="0" pivotButton="0" quotePrefix="0" xfId="0"/>
    <xf numFmtId="165" fontId="3" fillId="12" borderId="0" applyAlignment="1" pivotButton="0" quotePrefix="0" xfId="0">
      <alignment horizontal="left"/>
    </xf>
    <xf numFmtId="165" fontId="8" fillId="12" borderId="0" applyAlignment="1" pivotButton="0" quotePrefix="0" xfId="0">
      <alignment horizontal="left"/>
    </xf>
    <xf numFmtId="0" fontId="2" fillId="13" borderId="0" pivotButton="0" quotePrefix="0" xfId="0"/>
    <xf numFmtId="0" fontId="2" fillId="13" borderId="0" applyAlignment="1" pivotButton="0" quotePrefix="0" xfId="0">
      <alignment horizontal="left"/>
    </xf>
    <xf numFmtId="164" fontId="2" fillId="13" borderId="0" pivotButton="0" quotePrefix="0" xfId="0"/>
    <xf numFmtId="164" fontId="8" fillId="13" borderId="0" applyAlignment="1" pivotButton="0" quotePrefix="0" xfId="0">
      <alignment horizontal="left"/>
    </xf>
    <xf numFmtId="165" fontId="2" fillId="13" borderId="0" pivotButton="0" quotePrefix="0" xfId="0"/>
    <xf numFmtId="165" fontId="3" fillId="13" borderId="0" applyAlignment="1" pivotButton="0" quotePrefix="0" xfId="0">
      <alignment horizontal="left"/>
    </xf>
    <xf numFmtId="165" fontId="8" fillId="13" borderId="0" applyAlignment="1" pivotButton="0" quotePrefix="0" xfId="0">
      <alignment horizontal="left"/>
    </xf>
    <xf numFmtId="0" fontId="2" fillId="14" borderId="0" pivotButton="0" quotePrefix="0" xfId="0"/>
    <xf numFmtId="0" fontId="2" fillId="14" borderId="0" applyAlignment="1" pivotButton="0" quotePrefix="0" xfId="0">
      <alignment horizontal="left"/>
    </xf>
    <xf numFmtId="164" fontId="2" fillId="14" borderId="0" pivotButton="0" quotePrefix="0" xfId="0"/>
    <xf numFmtId="164" fontId="8" fillId="14" borderId="0" applyAlignment="1" pivotButton="0" quotePrefix="0" xfId="0">
      <alignment horizontal="left"/>
    </xf>
    <xf numFmtId="165" fontId="2" fillId="14" borderId="0" pivotButton="0" quotePrefix="0" xfId="0"/>
    <xf numFmtId="165" fontId="3" fillId="14" borderId="0" applyAlignment="1" pivotButton="0" quotePrefix="0" xfId="0">
      <alignment horizontal="left"/>
    </xf>
    <xf numFmtId="165" fontId="8" fillId="14" borderId="0" applyAlignment="1" pivotButton="0" quotePrefix="0" xfId="0">
      <alignment horizontal="left"/>
    </xf>
    <xf numFmtId="0" fontId="2" fillId="15" borderId="0" pivotButton="0" quotePrefix="0" xfId="0"/>
    <xf numFmtId="0" fontId="2" fillId="15" borderId="0" applyAlignment="1" pivotButton="0" quotePrefix="0" xfId="0">
      <alignment horizontal="left"/>
    </xf>
    <xf numFmtId="164" fontId="2" fillId="15" borderId="0" applyAlignment="1" pivotButton="0" quotePrefix="0" xfId="0">
      <alignment horizontal="left"/>
    </xf>
    <xf numFmtId="165" fontId="2" fillId="15" borderId="0" pivotButton="0" quotePrefix="0" xfId="0"/>
    <xf numFmtId="165" fontId="2" fillId="15" borderId="0" applyAlignment="1" pivotButton="0" quotePrefix="0" xfId="0">
      <alignment horizontal="left"/>
    </xf>
    <xf numFmtId="0" fontId="2" fillId="16" borderId="0" pivotButton="0" quotePrefix="0" xfId="0"/>
    <xf numFmtId="0" fontId="2" fillId="16" borderId="0" applyAlignment="1" pivotButton="0" quotePrefix="0" xfId="0">
      <alignment horizontal="left"/>
    </xf>
    <xf numFmtId="164" fontId="2" fillId="16" borderId="0" pivotButton="0" quotePrefix="0" xfId="0"/>
    <xf numFmtId="164" fontId="8" fillId="16" borderId="0" applyAlignment="1" pivotButton="0" quotePrefix="0" xfId="0">
      <alignment horizontal="left"/>
    </xf>
    <xf numFmtId="165" fontId="2" fillId="16" borderId="0" pivotButton="0" quotePrefix="0" xfId="0"/>
    <xf numFmtId="165" fontId="3" fillId="16" borderId="0" applyAlignment="1" pivotButton="0" quotePrefix="0" xfId="0">
      <alignment horizontal="left"/>
    </xf>
    <xf numFmtId="165" fontId="8" fillId="16" borderId="0" applyAlignment="1" pivotButton="0" quotePrefix="0" xfId="0">
      <alignment horizontal="left"/>
    </xf>
    <xf numFmtId="0" fontId="2" fillId="17" borderId="0" pivotButton="0" quotePrefix="0" xfId="0"/>
    <xf numFmtId="0" fontId="2" fillId="17" borderId="0" applyAlignment="1" pivotButton="0" quotePrefix="0" xfId="0">
      <alignment horizontal="left"/>
    </xf>
    <xf numFmtId="164" fontId="2" fillId="17" borderId="0" pivotButton="0" quotePrefix="0" xfId="0"/>
    <xf numFmtId="164" fontId="8" fillId="17" borderId="0" applyAlignment="1" pivotButton="0" quotePrefix="0" xfId="0">
      <alignment horizontal="left"/>
    </xf>
    <xf numFmtId="165" fontId="2" fillId="17" borderId="0" pivotButton="0" quotePrefix="0" xfId="0"/>
    <xf numFmtId="165" fontId="3" fillId="17" borderId="0" applyAlignment="1" pivotButton="0" quotePrefix="0" xfId="0">
      <alignment horizontal="left"/>
    </xf>
    <xf numFmtId="165" fontId="8" fillId="17" borderId="0" applyAlignment="1" pivotButton="0" quotePrefix="0" xfId="0">
      <alignment horizontal="left"/>
    </xf>
    <xf numFmtId="165" fontId="2" fillId="3" borderId="0" pivotButton="0" quotePrefix="0" xfId="0"/>
    <xf numFmtId="165" fontId="3" fillId="3" borderId="0" applyAlignment="1" pivotButton="0" quotePrefix="0" xfId="0">
      <alignment horizontal="left"/>
    </xf>
    <xf numFmtId="165" fontId="8" fillId="3" borderId="0" applyAlignment="1" pivotButton="0" quotePrefix="0" xfId="0">
      <alignment horizontal="left"/>
    </xf>
    <xf numFmtId="165" fontId="1" fillId="25" borderId="0" pivotButton="0" quotePrefix="0" xfId="0"/>
    <xf numFmtId="0" fontId="2" fillId="25" borderId="0" pivotButton="0" quotePrefix="0" xfId="0"/>
    <xf numFmtId="164" fontId="2" fillId="25" borderId="0" pivotButton="0" quotePrefix="0" xfId="0"/>
    <xf numFmtId="49" fontId="4" fillId="0" borderId="0" pivotButton="0" quotePrefix="0" xfId="0"/>
    <xf numFmtId="168" fontId="4" fillId="0" borderId="0" pivotButton="0" quotePrefix="0" xfId="0"/>
    <xf numFmtId="14" fontId="4" fillId="0" borderId="0" pivotButton="0" quotePrefix="0" xfId="0"/>
    <xf numFmtId="49" fontId="4" fillId="30" borderId="0" pivotButton="0" quotePrefix="0" xfId="0"/>
    <xf numFmtId="168" fontId="4" fillId="30" borderId="0" pivotButton="0" quotePrefix="0" xfId="0"/>
    <xf numFmtId="0" fontId="4" fillId="30" borderId="0" pivotButton="0" quotePrefix="0" xfId="0"/>
    <xf numFmtId="14" fontId="4" fillId="30" borderId="0" pivotButton="0" quotePrefix="0" xfId="0"/>
    <xf numFmtId="169" fontId="4" fillId="30" borderId="0" pivotButton="0" quotePrefix="0" xfId="0"/>
    <xf numFmtId="170" fontId="4" fillId="30" borderId="0" pivotButton="0" quotePrefix="0" xfId="0"/>
    <xf numFmtId="0" fontId="4" fillId="24" borderId="0" pivotButton="0" quotePrefix="0" xfId="0"/>
    <xf numFmtId="169" fontId="4" fillId="0" borderId="0" pivotButton="0" quotePrefix="0" xfId="0"/>
    <xf numFmtId="170" fontId="4" fillId="0" borderId="0" pivotButton="0" quotePrefix="0" xfId="0"/>
    <xf numFmtId="0" fontId="4" fillId="35" borderId="0" pivotButton="0" quotePrefix="0" xfId="0"/>
    <xf numFmtId="49" fontId="4" fillId="29" borderId="0" pivotButton="0" quotePrefix="0" xfId="0"/>
    <xf numFmtId="168" fontId="4" fillId="29" borderId="0" pivotButton="0" quotePrefix="0" xfId="0"/>
    <xf numFmtId="0" fontId="4" fillId="29" borderId="0" pivotButton="0" quotePrefix="0" xfId="0"/>
    <xf numFmtId="14" fontId="4" fillId="29" borderId="0" pivotButton="0" quotePrefix="0" xfId="0"/>
    <xf numFmtId="169" fontId="4" fillId="29" borderId="0" pivotButton="0" quotePrefix="0" xfId="0"/>
    <xf numFmtId="170" fontId="4" fillId="29" borderId="0" pivotButton="0" quotePrefix="0" xfId="0"/>
    <xf numFmtId="49" fontId="4" fillId="24" borderId="0" pivotButton="0" quotePrefix="0" xfId="0"/>
    <xf numFmtId="168" fontId="4" fillId="24" borderId="0" pivotButton="0" quotePrefix="0" xfId="0"/>
    <xf numFmtId="14" fontId="4" fillId="24" borderId="0" pivotButton="0" quotePrefix="0" xfId="0"/>
    <xf numFmtId="168" fontId="4" fillId="3" borderId="0" pivotButton="0" quotePrefix="0" xfId="0"/>
    <xf numFmtId="0" fontId="0" fillId="3" borderId="0" pivotButton="0" quotePrefix="0" xfId="0"/>
    <xf numFmtId="49" fontId="0" fillId="36" borderId="0" pivotButton="0" quotePrefix="0" xfId="0"/>
    <xf numFmtId="49" fontId="0" fillId="3" borderId="0" pivotButton="0" quotePrefix="0" xfId="0"/>
    <xf numFmtId="49" fontId="0" fillId="0" borderId="0" pivotButton="0" quotePrefix="0" xfId="0"/>
    <xf numFmtId="4" fontId="0" fillId="3" borderId="0" pivotButton="0" quotePrefix="0" xfId="0"/>
    <xf numFmtId="0" fontId="0" fillId="3" borderId="14" pivotButton="0" quotePrefix="0" xfId="0"/>
    <xf numFmtId="0" fontId="0" fillId="3" borderId="15" pivotButton="0" quotePrefix="0" xfId="0"/>
    <xf numFmtId="49" fontId="0" fillId="36" borderId="16" pivotButton="0" quotePrefix="0" xfId="0"/>
    <xf numFmtId="49" fontId="0" fillId="3" borderId="15" pivotButton="0" quotePrefix="0" xfId="0"/>
    <xf numFmtId="49" fontId="0" fillId="0" borderId="15" pivotButton="0" quotePrefix="0" xfId="0"/>
    <xf numFmtId="4" fontId="0" fillId="3" borderId="15" pivotButton="0" quotePrefix="0" xfId="0"/>
    <xf numFmtId="49" fontId="0" fillId="0" borderId="17" pivotButton="0" quotePrefix="0" xfId="0"/>
    <xf numFmtId="49" fontId="0" fillId="3" borderId="18" pivotButton="0" quotePrefix="0" xfId="0"/>
    <xf numFmtId="49" fontId="9" fillId="37" borderId="19" pivotButton="0" quotePrefix="0" xfId="0"/>
    <xf numFmtId="167" fontId="9" fillId="37" borderId="20" pivotButton="0" quotePrefix="0" xfId="0"/>
    <xf numFmtId="0" fontId="9" fillId="37" borderId="20" pivotButton="0" quotePrefix="0" xfId="0"/>
    <xf numFmtId="0" fontId="10" fillId="37" borderId="20" pivotButton="0" quotePrefix="0" xfId="0"/>
    <xf numFmtId="0" fontId="0" fillId="3" borderId="18" pivotButton="0" quotePrefix="0" xfId="0"/>
    <xf numFmtId="49" fontId="0" fillId="36" borderId="20" pivotButton="0" quotePrefix="0" xfId="0"/>
    <xf numFmtId="165" fontId="0" fillId="0" borderId="15" pivotButton="0" quotePrefix="0" xfId="0"/>
    <xf numFmtId="171" fontId="0" fillId="3" borderId="15" pivotButton="0" quotePrefix="0" xfId="0"/>
    <xf numFmtId="171" fontId="0" fillId="0" borderId="15" pivotButton="0" quotePrefix="0" xfId="0"/>
    <xf numFmtId="167" fontId="0" fillId="0" borderId="15" pivotButton="0" quotePrefix="0" xfId="0"/>
    <xf numFmtId="167" fontId="0" fillId="3" borderId="15" pivotButton="0" quotePrefix="0" xfId="0"/>
    <xf numFmtId="167" fontId="0" fillId="0" borderId="17" pivotButton="0" quotePrefix="0" xfId="0"/>
    <xf numFmtId="0" fontId="0" fillId="3" borderId="24" pivotButton="0" quotePrefix="0" xfId="0"/>
    <xf numFmtId="49" fontId="12" fillId="3" borderId="18" pivotButton="0" quotePrefix="0" xfId="0"/>
    <xf numFmtId="49" fontId="13" fillId="3" borderId="15" pivotButton="0" quotePrefix="0" xfId="0"/>
    <xf numFmtId="49" fontId="11" fillId="3" borderId="24" pivotButton="0" quotePrefix="0" xfId="0"/>
    <xf numFmtId="49" fontId="0" fillId="3" borderId="27" applyAlignment="1" pivotButton="0" quotePrefix="0" xfId="0">
      <alignment horizontal="left"/>
    </xf>
    <xf numFmtId="49" fontId="0" fillId="3" borderId="14" pivotButton="0" quotePrefix="0" xfId="0"/>
    <xf numFmtId="49" fontId="0" fillId="3" borderId="14" applyAlignment="1" pivotButton="0" quotePrefix="0" xfId="0">
      <alignment horizontal="right"/>
    </xf>
    <xf numFmtId="49" fontId="13" fillId="3" borderId="15" applyAlignment="1" pivotButton="0" quotePrefix="0" xfId="0">
      <alignment horizontal="right"/>
    </xf>
    <xf numFmtId="0" fontId="0" fillId="3" borderId="28" pivotButton="0" quotePrefix="0" xfId="0"/>
    <xf numFmtId="165" fontId="11" fillId="19" borderId="20" pivotButton="0" quotePrefix="0" xfId="0"/>
    <xf numFmtId="172" fontId="11" fillId="11" borderId="20" pivotButton="0" quotePrefix="0" xfId="0"/>
    <xf numFmtId="171" fontId="11" fillId="11" borderId="20" pivotButton="0" quotePrefix="0" xfId="0"/>
    <xf numFmtId="167" fontId="14" fillId="3" borderId="15" pivotButton="0" quotePrefix="0" xfId="0"/>
    <xf numFmtId="49" fontId="0" fillId="3" borderId="14" applyAlignment="1" pivotButton="0" quotePrefix="0" xfId="0">
      <alignment horizontal="left"/>
    </xf>
    <xf numFmtId="171" fontId="11" fillId="19" borderId="20" pivotButton="0" quotePrefix="0" xfId="0"/>
    <xf numFmtId="49" fontId="0" fillId="3" borderId="27" pivotButton="0" quotePrefix="0" xfId="0"/>
    <xf numFmtId="165" fontId="0" fillId="24" borderId="15" pivotButton="0" quotePrefix="0" xfId="0"/>
    <xf numFmtId="49" fontId="0" fillId="3" borderId="14" applyAlignment="1" pivotButton="0" quotePrefix="0" xfId="0">
      <alignment horizontal="center"/>
    </xf>
    <xf numFmtId="49" fontId="15" fillId="3" borderId="14" pivotButton="0" quotePrefix="0" xfId="0"/>
    <xf numFmtId="49" fontId="15" fillId="3" borderId="14" applyAlignment="1" pivotButton="0" quotePrefix="0" xfId="0">
      <alignment horizontal="left"/>
    </xf>
    <xf numFmtId="167" fontId="11" fillId="19" borderId="20" pivotButton="0" quotePrefix="0" xfId="0"/>
    <xf numFmtId="167" fontId="16" fillId="28" borderId="20" pivotButton="0" quotePrefix="0" xfId="0"/>
    <xf numFmtId="171" fontId="16" fillId="28" borderId="20" pivotButton="0" quotePrefix="0" xfId="0"/>
    <xf numFmtId="0" fontId="16" fillId="28" borderId="20" pivotButton="0" quotePrefix="0" xfId="0"/>
    <xf numFmtId="167" fontId="14" fillId="3" borderId="18" pivotButton="0" quotePrefix="0" xfId="0"/>
    <xf numFmtId="49" fontId="11" fillId="3" borderId="15" pivotButton="0" quotePrefix="0" xfId="0"/>
    <xf numFmtId="171" fontId="11" fillId="3" borderId="14" pivotButton="0" quotePrefix="0" xfId="0"/>
    <xf numFmtId="171" fontId="11" fillId="3" borderId="15" pivotButton="0" quotePrefix="0" xfId="0"/>
    <xf numFmtId="171" fontId="13" fillId="3" borderId="15" pivotButton="0" quotePrefix="0" xfId="0"/>
    <xf numFmtId="49" fontId="11" fillId="3" borderId="28" applyAlignment="1" pivotButton="0" quotePrefix="0" xfId="0">
      <alignment horizontal="right"/>
    </xf>
    <xf numFmtId="0" fontId="11" fillId="11" borderId="20" applyAlignment="1" pivotButton="0" quotePrefix="0" xfId="0">
      <alignment horizontal="left"/>
    </xf>
    <xf numFmtId="0" fontId="13" fillId="3" borderId="15" pivotButton="0" quotePrefix="0" xfId="0"/>
    <xf numFmtId="167" fontId="11" fillId="19" borderId="20" applyAlignment="1" pivotButton="0" quotePrefix="0" xfId="0">
      <alignment horizontal="right"/>
    </xf>
    <xf numFmtId="167" fontId="11" fillId="39" borderId="20" pivotButton="0" quotePrefix="0" xfId="0"/>
    <xf numFmtId="1" fontId="11" fillId="39" borderId="20" pivotButton="0" quotePrefix="0" xfId="0"/>
    <xf numFmtId="0" fontId="0" fillId="0" borderId="15" pivotButton="0" quotePrefix="0" xfId="0"/>
    <xf numFmtId="169" fontId="0" fillId="0" borderId="15" pivotButton="0" quotePrefix="0" xfId="0"/>
    <xf numFmtId="0" fontId="0" fillId="0" borderId="29" pivotButton="0" quotePrefix="0" xfId="0"/>
    <xf numFmtId="49" fontId="11" fillId="40" borderId="20" pivotButton="0" quotePrefix="0" xfId="0"/>
    <xf numFmtId="49" fontId="0" fillId="0" borderId="30" pivotButton="0" quotePrefix="0" xfId="0"/>
    <xf numFmtId="0" fontId="0" fillId="3" borderId="30" pivotButton="0" quotePrefix="0" xfId="0"/>
    <xf numFmtId="4" fontId="0" fillId="3" borderId="30" pivotButton="0" quotePrefix="0" xfId="0"/>
    <xf numFmtId="49" fontId="0" fillId="0" borderId="31" pivotButton="0" quotePrefix="0" xfId="0"/>
    <xf numFmtId="2" fontId="11" fillId="3" borderId="24" pivotButton="0" quotePrefix="0" xfId="0"/>
    <xf numFmtId="49" fontId="9" fillId="41" borderId="19" pivotButton="0" quotePrefix="0" xfId="0"/>
    <xf numFmtId="0" fontId="9" fillId="41" borderId="20" pivotButton="0" quotePrefix="0" xfId="0"/>
    <xf numFmtId="0" fontId="10" fillId="41" borderId="20" pivotButton="0" quotePrefix="0" xfId="0"/>
    <xf numFmtId="49" fontId="0" fillId="9" borderId="19" pivotButton="0" quotePrefix="0" xfId="0"/>
    <xf numFmtId="0" fontId="0" fillId="9" borderId="20" pivotButton="0" quotePrefix="0" xfId="0"/>
    <xf numFmtId="167" fontId="11" fillId="9" borderId="20" pivotButton="0" quotePrefix="0" xfId="0"/>
    <xf numFmtId="171" fontId="11" fillId="9" borderId="20" pivotButton="0" quotePrefix="0" xfId="0"/>
    <xf numFmtId="0" fontId="11" fillId="9" borderId="20" pivotButton="0" quotePrefix="0" xfId="0"/>
    <xf numFmtId="49" fontId="17" fillId="3" borderId="15" pivotButton="0" quotePrefix="0" xfId="0"/>
    <xf numFmtId="49" fontId="0" fillId="3" borderId="15" applyAlignment="1" pivotButton="0" quotePrefix="0" xfId="0">
      <alignment horizontal="center"/>
    </xf>
    <xf numFmtId="171" fontId="11" fillId="42" borderId="20" pivotButton="0" quotePrefix="0" xfId="0"/>
    <xf numFmtId="167" fontId="11" fillId="42" borderId="20" pivotButton="0" quotePrefix="0" xfId="0"/>
    <xf numFmtId="0" fontId="11" fillId="19" borderId="20" pivotButton="0" quotePrefix="0" xfId="0"/>
    <xf numFmtId="0" fontId="11" fillId="42" borderId="20" pivotButton="0" quotePrefix="0" xfId="0"/>
    <xf numFmtId="49" fontId="0" fillId="3" borderId="27" applyAlignment="1" pivotButton="0" quotePrefix="0" xfId="0">
      <alignment horizontal="center"/>
    </xf>
    <xf numFmtId="172" fontId="11" fillId="42" borderId="20" pivotButton="0" quotePrefix="0" xfId="0"/>
    <xf numFmtId="0" fontId="0" fillId="3" borderId="32" pivotButton="0" quotePrefix="0" xfId="0"/>
    <xf numFmtId="167" fontId="0" fillId="3" borderId="24" applyAlignment="1" pivotButton="0" quotePrefix="0" xfId="0">
      <alignment horizontal="center"/>
    </xf>
    <xf numFmtId="2" fontId="11" fillId="19" borderId="20" pivotButton="0" quotePrefix="0" xfId="0"/>
    <xf numFmtId="167" fontId="11" fillId="3" borderId="24" pivotButton="0" quotePrefix="0" xfId="0"/>
    <xf numFmtId="167" fontId="11" fillId="3" borderId="15" pivotButton="0" quotePrefix="0" xfId="0"/>
    <xf numFmtId="49" fontId="0" fillId="7" borderId="19" pivotButton="0" quotePrefix="0" xfId="0"/>
    <xf numFmtId="0" fontId="0" fillId="3" borderId="18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171" fontId="0" fillId="3" borderId="15" applyAlignment="1" pivotButton="0" quotePrefix="0" xfId="0">
      <alignment horizontal="center"/>
    </xf>
    <xf numFmtId="49" fontId="11" fillId="3" borderId="15" applyAlignment="1" pivotButton="0" quotePrefix="0" xfId="0">
      <alignment horizontal="center"/>
    </xf>
    <xf numFmtId="49" fontId="15" fillId="7" borderId="19" pivotButton="0" quotePrefix="0" xfId="0"/>
    <xf numFmtId="0" fontId="15" fillId="3" borderId="18" pivotButton="0" quotePrefix="0" xfId="0"/>
    <xf numFmtId="0" fontId="15" fillId="3" borderId="15" pivotButton="0" quotePrefix="0" xfId="0"/>
    <xf numFmtId="49" fontId="13" fillId="3" borderId="27" pivotButton="0" quotePrefix="0" xfId="0"/>
    <xf numFmtId="167" fontId="13" fillId="3" borderId="14" pivotButton="0" quotePrefix="0" xfId="0"/>
    <xf numFmtId="171" fontId="11" fillId="42" borderId="33" pivotButton="0" quotePrefix="0" xfId="0"/>
    <xf numFmtId="171" fontId="11" fillId="42" borderId="34" pivotButton="0" quotePrefix="0" xfId="0"/>
    <xf numFmtId="0" fontId="0" fillId="3" borderId="35" pivotButton="0" quotePrefix="0" xfId="0"/>
    <xf numFmtId="49" fontId="0" fillId="3" borderId="19" pivotButton="0" quotePrefix="0" xfId="0"/>
    <xf numFmtId="165" fontId="11" fillId="43" borderId="20" pivotButton="0" quotePrefix="0" xfId="0"/>
    <xf numFmtId="0" fontId="11" fillId="3" borderId="20" pivotButton="0" quotePrefix="0" xfId="0"/>
    <xf numFmtId="0" fontId="0" fillId="3" borderId="36" pivotButton="0" quotePrefix="0" xfId="0"/>
    <xf numFmtId="0" fontId="0" fillId="3" borderId="27" pivotButton="0" quotePrefix="0" xfId="0"/>
    <xf numFmtId="49" fontId="9" fillId="44" borderId="19" pivotButton="0" quotePrefix="0" xfId="0"/>
    <xf numFmtId="0" fontId="0" fillId="44" borderId="20" pivotButton="0" quotePrefix="0" xfId="0"/>
    <xf numFmtId="167" fontId="0" fillId="3" borderId="24" pivotButton="0" quotePrefix="0" xfId="0"/>
    <xf numFmtId="49" fontId="11" fillId="3" borderId="28" pivotButton="0" quotePrefix="0" xfId="0"/>
    <xf numFmtId="1" fontId="11" fillId="42" borderId="20" applyAlignment="1" pivotButton="0" quotePrefix="0" xfId="0">
      <alignment horizontal="right"/>
    </xf>
    <xf numFmtId="49" fontId="11" fillId="3" borderId="32" applyAlignment="1" pivotButton="0" quotePrefix="0" xfId="0">
      <alignment horizontal="right"/>
    </xf>
    <xf numFmtId="0" fontId="0" fillId="42" borderId="20" pivotButton="0" quotePrefix="0" xfId="0"/>
    <xf numFmtId="167" fontId="13" fillId="3" borderId="18" pivotButton="0" quotePrefix="0" xfId="0"/>
    <xf numFmtId="165" fontId="13" fillId="3" borderId="15" pivotButton="0" quotePrefix="0" xfId="0"/>
    <xf numFmtId="2" fontId="11" fillId="19" borderId="20" applyAlignment="1" pivotButton="0" quotePrefix="0" xfId="0">
      <alignment horizontal="right"/>
    </xf>
    <xf numFmtId="167" fontId="15" fillId="3" borderId="15" pivotButton="0" quotePrefix="0" xfId="0"/>
    <xf numFmtId="0" fontId="10" fillId="3" borderId="15" pivotButton="0" quotePrefix="0" xfId="0"/>
    <xf numFmtId="0" fontId="11" fillId="3" borderId="15" pivotButton="0" quotePrefix="0" xfId="0"/>
    <xf numFmtId="2" fontId="11" fillId="3" borderId="24" applyAlignment="1" pivotButton="0" quotePrefix="0" xfId="0">
      <alignment horizontal="right"/>
    </xf>
    <xf numFmtId="173" fontId="13" fillId="3" borderId="15" pivotButton="0" quotePrefix="0" xfId="0"/>
    <xf numFmtId="167" fontId="13" fillId="3" borderId="15" pivotButton="0" quotePrefix="0" xfId="0"/>
    <xf numFmtId="49" fontId="18" fillId="3" borderId="15" pivotButton="0" quotePrefix="0" xfId="0"/>
    <xf numFmtId="167" fontId="11" fillId="3" borderId="15" applyAlignment="1" pivotButton="0" quotePrefix="0" xfId="0">
      <alignment horizontal="right"/>
    </xf>
    <xf numFmtId="4" fontId="0" fillId="0" borderId="0" pivotButton="0" quotePrefix="0" xfId="0"/>
    <xf numFmtId="0" fontId="0" fillId="0" borderId="37" pivotButton="1" quotePrefix="0" xfId="0"/>
    <xf numFmtId="0" fontId="0" fillId="0" borderId="38" pivotButton="1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7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6" pivotButton="0" quotePrefix="0" xfId="0"/>
    <xf numFmtId="165" fontId="0" fillId="45" borderId="0" applyAlignment="1" pivotButton="0" quotePrefix="0" xfId="0">
      <alignment horizontal="left"/>
    </xf>
    <xf numFmtId="164" fontId="0" fillId="45" borderId="0" applyAlignment="1" pivotButton="0" quotePrefix="0" xfId="0">
      <alignment horizontal="left"/>
    </xf>
    <xf numFmtId="0" fontId="9" fillId="45" borderId="0" pivotButton="0" quotePrefix="0" xfId="0"/>
    <xf numFmtId="173" fontId="0" fillId="0" borderId="0" pivotButton="0" quotePrefix="0" xfId="0"/>
    <xf numFmtId="2" fontId="0" fillId="0" borderId="0" pivotButton="0" quotePrefix="0" xfId="0"/>
    <xf numFmtId="0" fontId="12" fillId="0" borderId="0" pivotButton="0" quotePrefix="0" xfId="0"/>
    <xf numFmtId="0" fontId="9" fillId="46" borderId="0" pivotButton="0" quotePrefix="0" xfId="0"/>
    <xf numFmtId="0" fontId="11" fillId="0" borderId="0" pivotButton="0" quotePrefix="0" xfId="0"/>
    <xf numFmtId="1" fontId="9" fillId="46" borderId="0" pivotButton="0" quotePrefix="0" xfId="0"/>
    <xf numFmtId="0" fontId="0" fillId="47" borderId="0" pivotButton="0" quotePrefix="0" xfId="0"/>
    <xf numFmtId="0" fontId="11" fillId="47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1" fillId="47" borderId="0" pivotButton="0" quotePrefix="0" xfId="0"/>
    <xf numFmtId="0" fontId="0" fillId="48" borderId="0" pivotButton="0" quotePrefix="0" xfId="0"/>
    <xf numFmtId="0" fontId="21" fillId="48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20" fillId="0" borderId="0" pivotButton="0" quotePrefix="0" xfId="0"/>
    <xf numFmtId="0" fontId="11" fillId="48" borderId="0" pivotButton="0" quotePrefix="0" xfId="0"/>
    <xf numFmtId="0" fontId="0" fillId="49" borderId="0" pivotButton="0" quotePrefix="0" xfId="0"/>
    <xf numFmtId="0" fontId="11" fillId="49" borderId="0" pivotButton="0" quotePrefix="0" xfId="0"/>
    <xf numFmtId="0" fontId="2" fillId="30" borderId="26" pivotButton="0" quotePrefix="0" xfId="1"/>
    <xf numFmtId="0" fontId="2" fillId="21" borderId="26" applyAlignment="1" pivotButton="0" quotePrefix="0" xfId="1">
      <alignment horizontal="left"/>
    </xf>
    <xf numFmtId="0" fontId="2" fillId="27" borderId="26" applyAlignment="1" pivotButton="0" quotePrefix="0" xfId="1">
      <alignment horizontal="left"/>
    </xf>
    <xf numFmtId="0" fontId="2" fillId="18" borderId="26" applyAlignment="1" pivotButton="0" quotePrefix="0" xfId="1">
      <alignment horizontal="left"/>
    </xf>
    <xf numFmtId="0" fontId="2" fillId="50" borderId="26" applyAlignment="1" pivotButton="0" quotePrefix="0" xfId="1">
      <alignment horizontal="left"/>
    </xf>
    <xf numFmtId="0" fontId="2" fillId="5" borderId="26" applyAlignment="1" pivotButton="0" quotePrefix="0" xfId="1">
      <alignment horizontal="left"/>
    </xf>
    <xf numFmtId="0" fontId="19" fillId="0" borderId="26" pivotButton="0" quotePrefix="0" xfId="1"/>
    <xf numFmtId="2" fontId="2" fillId="27" borderId="26" pivotButton="0" quotePrefix="0" xfId="1"/>
    <xf numFmtId="2" fontId="2" fillId="24" borderId="26" pivotButton="0" quotePrefix="0" xfId="1"/>
    <xf numFmtId="2" fontId="2" fillId="21" borderId="26" applyAlignment="1" pivotButton="0" quotePrefix="0" xfId="1">
      <alignment horizontal="left"/>
    </xf>
    <xf numFmtId="2" fontId="2" fillId="18" borderId="26" applyAlignment="1" pivotButton="0" quotePrefix="0" xfId="1">
      <alignment horizontal="left"/>
    </xf>
    <xf numFmtId="2" fontId="2" fillId="50" borderId="26" applyAlignment="1" pivotButton="0" quotePrefix="0" xfId="1">
      <alignment horizontal="left"/>
    </xf>
    <xf numFmtId="2" fontId="2" fillId="5" borderId="26" applyAlignment="1" pivotButton="0" quotePrefix="0" xfId="1">
      <alignment horizontal="left"/>
    </xf>
    <xf numFmtId="0" fontId="2" fillId="27" borderId="26" pivotButton="0" quotePrefix="0" xfId="1"/>
    <xf numFmtId="0" fontId="2" fillId="24" borderId="26" pivotButton="0" quotePrefix="0" xfId="1"/>
    <xf numFmtId="165" fontId="2" fillId="21" borderId="26" applyAlignment="1" pivotButton="0" quotePrefix="0" xfId="1">
      <alignment horizontal="left"/>
    </xf>
    <xf numFmtId="165" fontId="2" fillId="18" borderId="26" applyAlignment="1" pivotButton="0" quotePrefix="0" xfId="1">
      <alignment horizontal="left"/>
    </xf>
    <xf numFmtId="165" fontId="2" fillId="50" borderId="26" applyAlignment="1" pivotButton="0" quotePrefix="0" xfId="1">
      <alignment horizontal="left"/>
    </xf>
    <xf numFmtId="165" fontId="2" fillId="5" borderId="26" applyAlignment="1" pivotButton="0" quotePrefix="0" xfId="1">
      <alignment horizontal="left"/>
    </xf>
    <xf numFmtId="2" fontId="2" fillId="18" borderId="26" pivotButton="0" quotePrefix="0" xfId="1"/>
    <xf numFmtId="0" fontId="2" fillId="18" borderId="26" pivotButton="0" quotePrefix="0" xfId="1"/>
    <xf numFmtId="0" fontId="2" fillId="2" borderId="26" pivotButton="0" quotePrefix="0" xfId="1"/>
    <xf numFmtId="165" fontId="2" fillId="25" borderId="26" pivotButton="0" quotePrefix="0" xfId="1"/>
    <xf numFmtId="165" fontId="2" fillId="20" borderId="26" pivotButton="0" quotePrefix="0" xfId="1"/>
    <xf numFmtId="0" fontId="2" fillId="20" borderId="26" pivotButton="0" quotePrefix="0" xfId="1"/>
    <xf numFmtId="0" fontId="2" fillId="0" borderId="26" pivotButton="0" quotePrefix="0" xfId="1"/>
    <xf numFmtId="0" fontId="2" fillId="21" borderId="26" pivotButton="0" quotePrefix="0" xfId="1"/>
    <xf numFmtId="0" fontId="2" fillId="50" borderId="26" pivotButton="0" quotePrefix="0" xfId="1"/>
    <xf numFmtId="0" fontId="2" fillId="5" borderId="26" pivotButton="0" quotePrefix="0" xfId="1"/>
    <xf numFmtId="4" fontId="2" fillId="21" borderId="26" pivotButton="0" quotePrefix="0" xfId="1"/>
    <xf numFmtId="0" fontId="1" fillId="2" borderId="26" pivotButton="0" quotePrefix="0" xfId="1"/>
    <xf numFmtId="0" fontId="2" fillId="3" borderId="26" pivotButton="0" quotePrefix="0" xfId="1"/>
    <xf numFmtId="164" fontId="2" fillId="3" borderId="26" pivotButton="0" quotePrefix="0" xfId="1"/>
    <xf numFmtId="164" fontId="2" fillId="2" borderId="26" pivotButton="0" quotePrefix="0" xfId="1"/>
    <xf numFmtId="164" fontId="2" fillId="27" borderId="26" applyAlignment="1" pivotButton="0" quotePrefix="0" xfId="1">
      <alignment horizontal="left"/>
    </xf>
    <xf numFmtId="0" fontId="2" fillId="12" borderId="26" pivotButton="0" quotePrefix="0" xfId="1"/>
    <xf numFmtId="164" fontId="2" fillId="12" borderId="26" pivotButton="0" quotePrefix="0" xfId="1"/>
    <xf numFmtId="164" fontId="8" fillId="27" borderId="26" applyAlignment="1" pivotButton="0" quotePrefix="0" xfId="1">
      <alignment horizontal="left"/>
    </xf>
    <xf numFmtId="165" fontId="2" fillId="12" borderId="26" pivotButton="0" quotePrefix="0" xfId="1"/>
    <xf numFmtId="165" fontId="2" fillId="2" borderId="26" pivotButton="0" quotePrefix="0" xfId="1"/>
    <xf numFmtId="165" fontId="2" fillId="27" borderId="26" applyAlignment="1" pivotButton="0" quotePrefix="0" xfId="1">
      <alignment horizontal="left"/>
    </xf>
    <xf numFmtId="0" fontId="2" fillId="13" borderId="26" pivotButton="0" quotePrefix="0" xfId="1"/>
    <xf numFmtId="164" fontId="2" fillId="13" borderId="26" pivotButton="0" quotePrefix="0" xfId="1"/>
    <xf numFmtId="165" fontId="2" fillId="13" borderId="26" pivotButton="0" quotePrefix="0" xfId="1"/>
    <xf numFmtId="0" fontId="2" fillId="14" borderId="26" pivotButton="0" quotePrefix="0" xfId="1"/>
    <xf numFmtId="164" fontId="2" fillId="14" borderId="26" pivotButton="0" quotePrefix="0" xfId="1"/>
    <xf numFmtId="165" fontId="2" fillId="14" borderId="26" pivotButton="0" quotePrefix="0" xfId="1"/>
    <xf numFmtId="165" fontId="2" fillId="3" borderId="26" pivotButton="0" quotePrefix="0" xfId="1"/>
    <xf numFmtId="165" fontId="2" fillId="3" borderId="26" applyAlignment="1" pivotButton="0" quotePrefix="0" xfId="1">
      <alignment horizontal="left"/>
    </xf>
    <xf numFmtId="0" fontId="22" fillId="0" borderId="0" pivotButton="0" quotePrefix="0" xfId="0"/>
    <xf numFmtId="0" fontId="23" fillId="0" borderId="0" pivotButton="0" quotePrefix="0" xfId="0"/>
    <xf numFmtId="0" fontId="24" fillId="51" borderId="0" pivotButton="0" quotePrefix="0" xfId="0"/>
    <xf numFmtId="0" fontId="0" fillId="51" borderId="0" pivotButton="0" quotePrefix="0" xfId="0"/>
    <xf numFmtId="1" fontId="0" fillId="0" borderId="0" pivotButton="0" quotePrefix="0" xfId="0"/>
    <xf numFmtId="0" fontId="11" fillId="52" borderId="0" pivotButton="0" quotePrefix="0" xfId="0"/>
    <xf numFmtId="2" fontId="11" fillId="0" borderId="0" pivotButton="0" quotePrefix="0" xfId="0"/>
    <xf numFmtId="2" fontId="11" fillId="52" borderId="0" pivotButton="0" quotePrefix="0" xfId="0"/>
    <xf numFmtId="1" fontId="11" fillId="52" borderId="0" pivotButton="0" quotePrefix="0" xfId="0"/>
    <xf numFmtId="0" fontId="25" fillId="0" borderId="0" pivotButton="0" quotePrefix="0" xfId="0"/>
    <xf numFmtId="0" fontId="26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0" fontId="27" fillId="0" borderId="0" pivotButton="0" quotePrefix="0" xfId="0"/>
    <xf numFmtId="165" fontId="20" fillId="52" borderId="0" pivotButton="0" quotePrefix="0" xfId="0"/>
    <xf numFmtId="0" fontId="0" fillId="52" borderId="0" pivotButton="0" quotePrefix="0" xfId="0"/>
    <xf numFmtId="165" fontId="0" fillId="52" borderId="0" pivotButton="0" quotePrefix="0" xfId="0"/>
    <xf numFmtId="174" fontId="0" fillId="52" borderId="0" pivotButton="0" quotePrefix="0" xfId="0"/>
    <xf numFmtId="175" fontId="0" fillId="52" borderId="0" pivotButton="0" quotePrefix="0" xfId="0"/>
    <xf numFmtId="0" fontId="28" fillId="52" borderId="0" pivotButton="0" quotePrefix="0" xfId="0"/>
    <xf numFmtId="0" fontId="29" fillId="0" borderId="0" pivotButton="0" quotePrefix="0" xfId="0"/>
    <xf numFmtId="167" fontId="20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1" fillId="53" borderId="0" pivotButton="0" quotePrefix="0" xfId="0"/>
    <xf numFmtId="0" fontId="34" fillId="0" borderId="0" pivotButton="0" quotePrefix="0" xfId="0"/>
    <xf numFmtId="0" fontId="36" fillId="0" borderId="0" pivotButton="0" quotePrefix="0" xfId="0"/>
    <xf numFmtId="0" fontId="20" fillId="53" borderId="0" pivotButton="0" quotePrefix="0" xfId="0"/>
    <xf numFmtId="164" fontId="20" fillId="53" borderId="0" pivotButton="0" quotePrefix="0" xfId="0"/>
    <xf numFmtId="0" fontId="11" fillId="0" borderId="49" pivotButton="0" quotePrefix="0" xfId="0"/>
    <xf numFmtId="0" fontId="0" fillId="0" borderId="49" pivotButton="0" quotePrefix="0" xfId="0"/>
    <xf numFmtId="0" fontId="0" fillId="0" borderId="50" pivotButton="0" quotePrefix="0" xfId="0"/>
    <xf numFmtId="2" fontId="0" fillId="0" borderId="50" pivotButton="0" quotePrefix="0" xfId="0"/>
    <xf numFmtId="164" fontId="20" fillId="53" borderId="50" pivotButton="0" quotePrefix="0" xfId="0"/>
    <xf numFmtId="176" fontId="0" fillId="0" borderId="50" pivotButton="0" quotePrefix="0" xfId="0"/>
    <xf numFmtId="0" fontId="0" fillId="0" borderId="51" pivotButton="0" quotePrefix="0" xfId="0"/>
    <xf numFmtId="2" fontId="0" fillId="0" borderId="51" pivotButton="0" quotePrefix="0" xfId="0"/>
    <xf numFmtId="164" fontId="20" fillId="53" borderId="51" pivotButton="0" quotePrefix="0" xfId="0"/>
    <xf numFmtId="176" fontId="0" fillId="0" borderId="51" pivotButton="0" quotePrefix="0" xfId="0"/>
    <xf numFmtId="0" fontId="9" fillId="54" borderId="53" pivotButton="0" quotePrefix="0" xfId="0"/>
    <xf numFmtId="0" fontId="9" fillId="54" borderId="54" pivotButton="0" quotePrefix="0" xfId="0"/>
    <xf numFmtId="0" fontId="11" fillId="0" borderId="55" pivotButton="0" quotePrefix="0" xfId="0"/>
    <xf numFmtId="0" fontId="11" fillId="0" borderId="56" pivotButton="0" quotePrefix="0" xfId="0"/>
    <xf numFmtId="0" fontId="9" fillId="54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1" fillId="53" borderId="49" pivotButton="0" quotePrefix="0" xfId="0"/>
    <xf numFmtId="164" fontId="21" fillId="53" borderId="49" pivotButton="0" quotePrefix="0" xfId="0"/>
    <xf numFmtId="1" fontId="21" fillId="53" borderId="49" pivotButton="0" quotePrefix="0" xfId="0"/>
    <xf numFmtId="0" fontId="33" fillId="0" borderId="49" pivotButton="0" quotePrefix="0" xfId="0"/>
    <xf numFmtId="2" fontId="11" fillId="0" borderId="49" pivotButton="0" quotePrefix="0" xfId="0"/>
    <xf numFmtId="0" fontId="35" fillId="0" borderId="49" pivotButton="0" quotePrefix="0" xfId="0"/>
    <xf numFmtId="176" fontId="35" fillId="0" borderId="49" pivotButton="0" quotePrefix="0" xfId="0"/>
    <xf numFmtId="177" fontId="11" fillId="0" borderId="49" pivotButton="0" quotePrefix="0" xfId="0"/>
    <xf numFmtId="0" fontId="11" fillId="0" borderId="52" pivotButton="0" quotePrefix="0" xfId="0"/>
    <xf numFmtId="0" fontId="33" fillId="0" borderId="60" pivotButton="0" quotePrefix="0" xfId="0"/>
    <xf numFmtId="0" fontId="0" fillId="0" borderId="60" pivotButton="0" quotePrefix="0" xfId="0"/>
    <xf numFmtId="0" fontId="11" fillId="55" borderId="0" pivotButton="0" quotePrefix="0" xfId="0"/>
    <xf numFmtId="0" fontId="0" fillId="55" borderId="0" pivotButton="0" quotePrefix="0" xfId="0"/>
    <xf numFmtId="165" fontId="20" fillId="53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25" fillId="56" borderId="0" pivotButton="0" quotePrefix="0" xfId="0"/>
    <xf numFmtId="0" fontId="25" fillId="49" borderId="0" pivotButton="0" quotePrefix="0" xfId="0"/>
    <xf numFmtId="0" fontId="25" fillId="53" borderId="0" pivotButton="0" quotePrefix="0" xfId="0"/>
    <xf numFmtId="0" fontId="25" fillId="48" borderId="0" pivotButton="0" quotePrefix="0" xfId="0"/>
    <xf numFmtId="0" fontId="25" fillId="57" borderId="0" pivotButton="0" quotePrefix="0" xfId="0"/>
    <xf numFmtId="0" fontId="11" fillId="58" borderId="0" pivotButton="0" quotePrefix="0" xfId="0"/>
    <xf numFmtId="0" fontId="0" fillId="58" borderId="0" pivotButton="0" quotePrefix="0" xfId="0"/>
    <xf numFmtId="0" fontId="0" fillId="56" borderId="0" pivotButton="0" quotePrefix="0" xfId="0"/>
    <xf numFmtId="0" fontId="11" fillId="56" borderId="0" pivotButton="0" quotePrefix="0" xfId="0"/>
    <xf numFmtId="0" fontId="0" fillId="53" borderId="0" pivotButton="0" quotePrefix="0" xfId="0"/>
    <xf numFmtId="0" fontId="11" fillId="53" borderId="0" pivotButton="0" quotePrefix="0" xfId="0"/>
    <xf numFmtId="0" fontId="0" fillId="57" borderId="0" pivotButton="0" quotePrefix="0" xfId="0"/>
    <xf numFmtId="0" fontId="0" fillId="59" borderId="0" applyAlignment="1" pivotButton="0" quotePrefix="0" xfId="0">
      <alignment horizontal="center"/>
    </xf>
    <xf numFmtId="165" fontId="20" fillId="60" borderId="0" pivotButton="0" quotePrefix="0" xfId="0"/>
    <xf numFmtId="165" fontId="0" fillId="48" borderId="0" pivotButton="0" quotePrefix="0" xfId="0"/>
    <xf numFmtId="0" fontId="25" fillId="61" borderId="0" pivotButton="0" quotePrefix="0" xfId="0"/>
    <xf numFmtId="0" fontId="25" fillId="62" borderId="0" pivotButton="0" quotePrefix="0" xfId="0"/>
    <xf numFmtId="0" fontId="25" fillId="63" borderId="0" pivotButton="0" quotePrefix="0" xfId="0"/>
    <xf numFmtId="0" fontId="25" fillId="64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4" fillId="0" borderId="0" pivotButton="0" quotePrefix="0" xfId="0"/>
    <xf numFmtId="0" fontId="11" fillId="59" borderId="0" applyAlignment="1" pivotButton="0" quotePrefix="0" xfId="0">
      <alignment horizontal="center"/>
    </xf>
    <xf numFmtId="165" fontId="0" fillId="56" borderId="0" pivotButton="0" quotePrefix="0" xfId="0"/>
    <xf numFmtId="164" fontId="0" fillId="56" borderId="0" pivotButton="0" quotePrefix="0" xfId="0"/>
    <xf numFmtId="164" fontId="0" fillId="49" borderId="0" pivotButton="0" quotePrefix="0" xfId="0"/>
    <xf numFmtId="165" fontId="0" fillId="49" borderId="0" pivotButton="0" quotePrefix="0" xfId="0"/>
    <xf numFmtId="0" fontId="0" fillId="0" borderId="0" applyAlignment="1" pivotButton="0" quotePrefix="0" xfId="0">
      <alignment horizontal="center"/>
    </xf>
    <xf numFmtId="0" fontId="32" fillId="53" borderId="0" applyAlignment="1" pivotButton="0" quotePrefix="0" xfId="0">
      <alignment horizontal="center"/>
    </xf>
    <xf numFmtId="0" fontId="39" fillId="53" borderId="0" applyAlignment="1" pivotButton="0" quotePrefix="0" xfId="0">
      <alignment horizontal="center"/>
    </xf>
    <xf numFmtId="0" fontId="41" fillId="53" borderId="0" applyAlignment="1" pivotButton="0" quotePrefix="0" xfId="0">
      <alignment horizontal="center"/>
    </xf>
    <xf numFmtId="0" fontId="43" fillId="53" borderId="0" applyAlignment="1" pivotButton="0" quotePrefix="0" xfId="0">
      <alignment horizontal="center"/>
    </xf>
    <xf numFmtId="165" fontId="0" fillId="65" borderId="0" pivotButton="0" quotePrefix="0" xfId="0"/>
    <xf numFmtId="0" fontId="0" fillId="62" borderId="0" pivotButton="0" quotePrefix="0" xfId="0"/>
    <xf numFmtId="0" fontId="36" fillId="45" borderId="0" pivotButton="0" quotePrefix="0" xfId="0"/>
    <xf numFmtId="0" fontId="11" fillId="0" borderId="0" applyAlignment="1" pivotButton="0" quotePrefix="0" xfId="0">
      <alignment horizontal="center"/>
    </xf>
    <xf numFmtId="0" fontId="11" fillId="66" borderId="0" applyAlignment="1" pivotButton="0" quotePrefix="0" xfId="0">
      <alignment horizontal="center"/>
    </xf>
    <xf numFmtId="0" fontId="0" fillId="66" borderId="0" applyAlignment="1" pivotButton="0" quotePrefix="0" xfId="0">
      <alignment horizontal="center"/>
    </xf>
    <xf numFmtId="164" fontId="20" fillId="0" borderId="0" pivotButton="0" quotePrefix="0" xfId="0"/>
    <xf numFmtId="0" fontId="33" fillId="66" borderId="0" pivotButton="0" quotePrefix="0" xfId="0"/>
    <xf numFmtId="0" fontId="45" fillId="66" borderId="0" pivotButton="0" quotePrefix="0" xfId="0"/>
    <xf numFmtId="0" fontId="25" fillId="67" borderId="0" pivotButton="0" quotePrefix="0" xfId="0"/>
    <xf numFmtId="0" fontId="46" fillId="0" borderId="0" pivotButton="0" quotePrefix="0" xfId="0"/>
    <xf numFmtId="165" fontId="0" fillId="67" borderId="0" pivotButton="0" quotePrefix="0" xfId="0"/>
    <xf numFmtId="0" fontId="0" fillId="67" borderId="0" pivotButton="0" quotePrefix="0" xfId="0"/>
    <xf numFmtId="0" fontId="47" fillId="67" borderId="0" pivotButton="0" quotePrefix="0" xfId="0"/>
    <xf numFmtId="165" fontId="0" fillId="61" borderId="0" pivotButton="0" quotePrefix="0" xfId="0"/>
    <xf numFmtId="0" fontId="0" fillId="61" borderId="0" pivotButton="0" quotePrefix="0" xfId="0"/>
    <xf numFmtId="0" fontId="47" fillId="61" borderId="0" pivotButton="0" quotePrefix="0" xfId="0"/>
    <xf numFmtId="167" fontId="0" fillId="0" borderId="0" pivotButton="0" quotePrefix="0" xfId="0"/>
    <xf numFmtId="167" fontId="0" fillId="57" borderId="0" pivotButton="0" quotePrefix="0" xfId="0"/>
    <xf numFmtId="165" fontId="0" fillId="57" borderId="0" pivotButton="0" quotePrefix="0" xfId="0"/>
    <xf numFmtId="178" fontId="0" fillId="57" borderId="0" pivotButton="0" quotePrefix="0" xfId="0"/>
    <xf numFmtId="0" fontId="11" fillId="68" borderId="0" pivotButton="0" quotePrefix="0" xfId="0"/>
    <xf numFmtId="0" fontId="11" fillId="69" borderId="0" pivotButton="0" quotePrefix="0" xfId="0"/>
    <xf numFmtId="0" fontId="46" fillId="59" borderId="0" applyAlignment="1" pivotButton="0" quotePrefix="0" xfId="0">
      <alignment horizontal="center"/>
    </xf>
    <xf numFmtId="0" fontId="47" fillId="0" borderId="0" pivotButton="0" quotePrefix="0" xfId="0"/>
    <xf numFmtId="0" fontId="0" fillId="68" borderId="0" pivotButton="0" quotePrefix="0" xfId="0"/>
    <xf numFmtId="165" fontId="0" fillId="68" borderId="0" pivotButton="0" quotePrefix="0" xfId="0"/>
    <xf numFmtId="0" fontId="0" fillId="69" borderId="0" pivotButton="0" quotePrefix="0" xfId="0"/>
    <xf numFmtId="165" fontId="0" fillId="69" borderId="0" pivotButton="0" quotePrefix="0" xfId="0"/>
    <xf numFmtId="0" fontId="35" fillId="67" borderId="0" pivotButton="0" quotePrefix="0" xfId="0"/>
    <xf numFmtId="0" fontId="48" fillId="0" borderId="0" pivotButton="0" quotePrefix="0" xfId="0"/>
    <xf numFmtId="3" fontId="0" fillId="0" borderId="0" pivotButton="0" quotePrefix="0" xfId="0"/>
    <xf numFmtId="0" fontId="35" fillId="57" borderId="0" pivotButton="0" quotePrefix="0" xfId="0"/>
    <xf numFmtId="0" fontId="49" fillId="49" borderId="0" pivotButton="0" quotePrefix="0" xfId="0"/>
    <xf numFmtId="2" fontId="0" fillId="52" borderId="0" pivotButton="0" quotePrefix="0" xfId="0"/>
    <xf numFmtId="164" fontId="0" fillId="52" borderId="0" pivotButton="0" quotePrefix="0" xfId="0"/>
    <xf numFmtId="0" fontId="35" fillId="62" borderId="0" pivotButton="0" quotePrefix="0" xfId="0"/>
    <xf numFmtId="0" fontId="35" fillId="64" borderId="0" pivotButton="0" quotePrefix="0" xfId="0"/>
    <xf numFmtId="0" fontId="50" fillId="0" borderId="0" pivotButton="0" quotePrefix="0" xfId="0"/>
    <xf numFmtId="0" fontId="11" fillId="49" borderId="0" applyAlignment="1" pivotButton="0" quotePrefix="0" xfId="0">
      <alignment wrapText="1"/>
    </xf>
    <xf numFmtId="0" fontId="49" fillId="49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1" fillId="48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1" fontId="0" fillId="52" borderId="0" pivotButton="0" quotePrefix="0" xfId="0"/>
    <xf numFmtId="0" fontId="11" fillId="0" borderId="0" applyAlignment="1" pivotButton="0" quotePrefix="0" xfId="0">
      <alignment wrapText="1"/>
    </xf>
    <xf numFmtId="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20" fillId="53" borderId="0" pivotButton="0" quotePrefix="0" xfId="0"/>
    <xf numFmtId="0" fontId="11" fillId="67" borderId="0" applyAlignment="1" pivotButton="0" quotePrefix="0" xfId="0">
      <alignment horizontal="center"/>
    </xf>
    <xf numFmtId="0" fontId="11" fillId="53" borderId="0" applyAlignment="1" pivotButton="0" quotePrefix="0" xfId="0">
      <alignment horizontal="center"/>
    </xf>
    <xf numFmtId="0" fontId="11" fillId="70" borderId="0" pivotButton="0" quotePrefix="0" xfId="0"/>
    <xf numFmtId="0" fontId="11" fillId="70" borderId="0" applyAlignment="1" pivotButton="0" quotePrefix="0" xfId="0">
      <alignment horizontal="center"/>
    </xf>
    <xf numFmtId="0" fontId="51" fillId="48" borderId="0" pivotButton="0" quotePrefix="0" xfId="0"/>
    <xf numFmtId="0" fontId="51" fillId="53" borderId="0" pivotButton="0" quotePrefix="0" xfId="0"/>
    <xf numFmtId="0" fontId="51" fillId="70" borderId="0" pivotButton="0" quotePrefix="0" xfId="0"/>
    <xf numFmtId="165" fontId="0" fillId="53" borderId="0" pivotButton="0" quotePrefix="0" xfId="0"/>
    <xf numFmtId="0" fontId="0" fillId="70" borderId="0" pivotButton="0" quotePrefix="0" xfId="0"/>
    <xf numFmtId="0" fontId="37" fillId="0" borderId="0" pivotButton="0" quotePrefix="1" xfId="0"/>
    <xf numFmtId="0" fontId="38" fillId="0" borderId="0" pivotButton="0" quotePrefix="1" xfId="0"/>
    <xf numFmtId="0" fontId="52" fillId="0" borderId="0" pivotButton="0" quotePrefix="0" xfId="0"/>
    <xf numFmtId="0" fontId="35" fillId="48" borderId="0" pivotButton="0" quotePrefix="0" xfId="0"/>
    <xf numFmtId="0" fontId="53" fillId="0" borderId="0" pivotButton="0" quotePrefix="0" xfId="0"/>
    <xf numFmtId="168" fontId="0" fillId="0" borderId="0" pivotButton="0" quotePrefix="0" xfId="0"/>
    <xf numFmtId="16" fontId="0" fillId="0" borderId="0" pivotButton="0" quotePrefix="0" xfId="0"/>
    <xf numFmtId="16" fontId="20" fillId="53" borderId="0" pivotButton="0" quotePrefix="0" xfId="0"/>
    <xf numFmtId="168" fontId="11" fillId="0" borderId="0" pivotButton="0" quotePrefix="0" xfId="0"/>
    <xf numFmtId="0" fontId="11" fillId="57" borderId="0" pivotButton="0" quotePrefix="0" xfId="0"/>
    <xf numFmtId="0" fontId="35" fillId="53" borderId="0" pivotButton="0" quotePrefix="0" xfId="0"/>
    <xf numFmtId="0" fontId="11" fillId="65" borderId="0" pivotButton="0" quotePrefix="0" xfId="0"/>
    <xf numFmtId="178" fontId="20" fillId="53" borderId="0" pivotButton="0" quotePrefix="0" xfId="0"/>
    <xf numFmtId="179" fontId="0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167" fontId="0" fillId="52" borderId="0" pivotButton="0" quotePrefix="0" xfId="0"/>
    <xf numFmtId="179" fontId="0" fillId="52" borderId="0" pivotButton="0" quotePrefix="0" xfId="0"/>
    <xf numFmtId="164" fontId="11" fillId="0" borderId="0" pivotButton="0" quotePrefix="0" xfId="0"/>
    <xf numFmtId="0" fontId="56" fillId="0" borderId="0" pivotButton="0" quotePrefix="0" xfId="0"/>
    <xf numFmtId="0" fontId="35" fillId="61" borderId="0" pivotButton="0" quotePrefix="0" xfId="0"/>
    <xf numFmtId="180" fontId="0" fillId="0" borderId="0" pivotButton="0" quotePrefix="0" xfId="0"/>
    <xf numFmtId="181" fontId="0" fillId="0" borderId="0" pivotButton="0" quotePrefix="0" xfId="0"/>
    <xf numFmtId="0" fontId="59" fillId="0" borderId="0" pivotButton="0" quotePrefix="0" xfId="0"/>
    <xf numFmtId="0" fontId="11" fillId="61" borderId="0" pivotButton="0" quotePrefix="0" xfId="0"/>
    <xf numFmtId="0" fontId="21" fillId="49" borderId="0" pivotButton="0" quotePrefix="0" xfId="0"/>
    <xf numFmtId="2" fontId="20" fillId="53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35" fillId="49" borderId="0" pivotButton="0" quotePrefix="0" xfId="0"/>
    <xf numFmtId="0" fontId="62" fillId="0" borderId="0" pivotButton="0" quotePrefix="0" xfId="0"/>
    <xf numFmtId="0" fontId="11" fillId="49" borderId="0" pivotButton="0" quotePrefix="1" xfId="0"/>
    <xf numFmtId="0" fontId="11" fillId="71" borderId="0" pivotButton="0" quotePrefix="0" xfId="0"/>
    <xf numFmtId="0" fontId="11" fillId="72" borderId="0" pivotButton="0" quotePrefix="0" xfId="0"/>
    <xf numFmtId="0" fontId="11" fillId="73" borderId="0" pivotButton="0" quotePrefix="0" xfId="0"/>
    <xf numFmtId="2" fontId="0" fillId="62" borderId="0" pivotButton="0" quotePrefix="0" xfId="0"/>
    <xf numFmtId="2" fontId="0" fillId="49" borderId="0" pivotButton="0" quotePrefix="0" xfId="0"/>
    <xf numFmtId="165" fontId="11" fillId="0" borderId="0" pivotButton="0" quotePrefix="0" xfId="0"/>
    <xf numFmtId="2" fontId="11" fillId="62" borderId="0" pivotButton="0" quotePrefix="0" xfId="0"/>
    <xf numFmtId="2" fontId="11" fillId="49" borderId="0" pivotButton="0" quotePrefix="0" xfId="0"/>
    <xf numFmtId="2" fontId="0" fillId="56" borderId="0" pivotButton="0" quotePrefix="0" xfId="0"/>
    <xf numFmtId="164" fontId="20" fillId="49" borderId="0" pivotButton="0" quotePrefix="0" xfId="0"/>
    <xf numFmtId="2" fontId="0" fillId="53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46" borderId="0" pivotButton="0" quotePrefix="0" xfId="0"/>
    <xf numFmtId="0" fontId="0" fillId="46" borderId="0" pivotButton="0" quotePrefix="0" xfId="0"/>
    <xf numFmtId="1" fontId="20" fillId="53" borderId="0" pivotButton="0" quotePrefix="0" xfId="0"/>
    <xf numFmtId="0" fontId="66" fillId="74" borderId="0" pivotButton="0" quotePrefix="0" xfId="0"/>
    <xf numFmtId="0" fontId="0" fillId="74" borderId="0" pivotButton="0" quotePrefix="0" xfId="0"/>
    <xf numFmtId="0" fontId="67" fillId="0" borderId="0" pivotButton="0" quotePrefix="0" xfId="0"/>
    <xf numFmtId="164" fontId="67" fillId="0" borderId="0" pivotButton="0" quotePrefix="0" xfId="0"/>
    <xf numFmtId="1" fontId="11" fillId="0" borderId="0" pivotButton="0" quotePrefix="0" xfId="0"/>
    <xf numFmtId="0" fontId="66" fillId="75" borderId="0" pivotButton="0" quotePrefix="0" xfId="0"/>
    <xf numFmtId="0" fontId="0" fillId="75" borderId="0" pivotButton="0" quotePrefix="0" xfId="0"/>
    <xf numFmtId="0" fontId="66" fillId="76" borderId="0" pivotButton="0" quotePrefix="0" xfId="0"/>
    <xf numFmtId="0" fontId="0" fillId="76" borderId="0" pivotButton="0" quotePrefix="0" xfId="0"/>
    <xf numFmtId="0" fontId="66" fillId="77" borderId="0" pivotButton="0" quotePrefix="0" xfId="0"/>
    <xf numFmtId="0" fontId="0" fillId="77" borderId="0" pivotButton="0" quotePrefix="0" xfId="0"/>
    <xf numFmtId="0" fontId="66" fillId="78" borderId="0" pivotButton="0" quotePrefix="0" xfId="0"/>
    <xf numFmtId="0" fontId="0" fillId="78" borderId="0" pivotButton="0" quotePrefix="0" xfId="0"/>
    <xf numFmtId="0" fontId="66" fillId="79" borderId="0" pivotButton="0" quotePrefix="0" xfId="0"/>
    <xf numFmtId="0" fontId="0" fillId="79" borderId="0" pivotButton="0" quotePrefix="0" xfId="0"/>
    <xf numFmtId="0" fontId="35" fillId="0" borderId="0" pivotButton="0" quotePrefix="0" xfId="0"/>
    <xf numFmtId="0" fontId="35" fillId="80" borderId="0" pivotButton="0" quotePrefix="0" xfId="0"/>
    <xf numFmtId="179" fontId="68" fillId="49" borderId="0" pivotButton="0" quotePrefix="0" xfId="0"/>
    <xf numFmtId="0" fontId="69" fillId="0" borderId="0" pivotButton="0" quotePrefix="0" xfId="0"/>
    <xf numFmtId="0" fontId="71" fillId="47" borderId="0" pivotButton="0" quotePrefix="0" xfId="0"/>
    <xf numFmtId="0" fontId="70" fillId="0" borderId="0" pivotButton="0" quotePrefix="0" xfId="0"/>
    <xf numFmtId="0" fontId="0" fillId="0" borderId="0" pivotButton="0" quotePrefix="1" xfId="0"/>
    <xf numFmtId="0" fontId="72" fillId="0" borderId="0" pivotButton="0" quotePrefix="0" xfId="0"/>
    <xf numFmtId="179" fontId="73" fillId="49" borderId="0" pivotButton="0" quotePrefix="0" xfId="0"/>
    <xf numFmtId="0" fontId="74" fillId="0" borderId="0" pivotButton="0" quotePrefix="0" xfId="0"/>
    <xf numFmtId="0" fontId="75" fillId="0" borderId="0" pivotButton="0" quotePrefix="0" xfId="0"/>
    <xf numFmtId="0" fontId="66" fillId="81" borderId="0" pivotButton="0" quotePrefix="0" xfId="0"/>
    <xf numFmtId="0" fontId="0" fillId="81" borderId="0" pivotButton="0" quotePrefix="0" xfId="0"/>
    <xf numFmtId="14" fontId="0" fillId="0" borderId="0" pivotButton="0" quotePrefix="0" xfId="0"/>
    <xf numFmtId="20" fontId="0" fillId="0" borderId="0" pivotButton="0" quotePrefix="0" xfId="0"/>
    <xf numFmtId="0" fontId="11" fillId="82" borderId="0" pivotButton="0" quotePrefix="0" xfId="0"/>
    <xf numFmtId="3" fontId="21" fillId="53" borderId="0" pivotButton="0" quotePrefix="0" xfId="0"/>
    <xf numFmtId="0" fontId="76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0" fontId="35" fillId="63" borderId="0" pivotButton="0" quotePrefix="0" xfId="0"/>
    <xf numFmtId="11" fontId="20" fillId="53" borderId="0" pivotButton="0" quotePrefix="0" xfId="0"/>
    <xf numFmtId="178" fontId="0" fillId="0" borderId="0" pivotButton="0" quotePrefix="0" xfId="0"/>
    <xf numFmtId="184" fontId="0" fillId="0" borderId="0" pivotButton="0" quotePrefix="0" xfId="0"/>
    <xf numFmtId="185" fontId="0" fillId="0" borderId="0" pivotButton="0" quotePrefix="0" xfId="0"/>
    <xf numFmtId="167" fontId="20" fillId="53" borderId="0" pivotButton="0" quotePrefix="0" xfId="0"/>
    <xf numFmtId="0" fontId="35" fillId="84" borderId="0" pivotButton="0" quotePrefix="0" xfId="0"/>
    <xf numFmtId="0" fontId="66" fillId="85" borderId="0" pivotButton="0" quotePrefix="0" xfId="0"/>
    <xf numFmtId="0" fontId="0" fillId="85" borderId="0" pivotButton="0" quotePrefix="0" xfId="0"/>
    <xf numFmtId="9" fontId="20" fillId="53" borderId="0" pivotButton="0" quotePrefix="0" xfId="0"/>
    <xf numFmtId="0" fontId="66" fillId="54" borderId="0" pivotButton="0" quotePrefix="0" xfId="0"/>
    <xf numFmtId="0" fontId="0" fillId="54" borderId="0" pivotButton="0" quotePrefix="0" xfId="0"/>
    <xf numFmtId="0" fontId="77" fillId="46" borderId="0" pivotButton="0" quotePrefix="0" xfId="0"/>
    <xf numFmtId="0" fontId="71" fillId="0" borderId="0" pivotButton="0" quotePrefix="0" xfId="0"/>
    <xf numFmtId="0" fontId="71" fillId="49" borderId="0" pivotButton="0" quotePrefix="0" xfId="0"/>
    <xf numFmtId="0" fontId="77" fillId="74" borderId="0" pivotButton="0" quotePrefix="0" xfId="0"/>
    <xf numFmtId="0" fontId="71" fillId="48" borderId="0" pivotButton="0" quotePrefix="0" xfId="0"/>
    <xf numFmtId="0" fontId="78" fillId="0" borderId="0" pivotButton="0" quotePrefix="0" xfId="0"/>
    <xf numFmtId="0" fontId="79" fillId="0" borderId="0" pivotButton="0" quotePrefix="0" xfId="0"/>
    <xf numFmtId="49" fontId="21" fillId="47" borderId="0" pivotButton="0" quotePrefix="0" xfId="0"/>
    <xf numFmtId="0" fontId="66" fillId="86" borderId="0" pivotButton="0" quotePrefix="0" xfId="0"/>
    <xf numFmtId="0" fontId="0" fillId="86" borderId="0" pivotButton="0" quotePrefix="0" xfId="0"/>
    <xf numFmtId="0" fontId="0" fillId="84" borderId="0" pivotButton="0" quotePrefix="0" xfId="0"/>
    <xf numFmtId="3" fontId="0" fillId="84" borderId="0" pivotButton="0" quotePrefix="0" xfId="0"/>
    <xf numFmtId="0" fontId="80" fillId="0" borderId="0" pivotButton="0" quotePrefix="0" xfId="0"/>
    <xf numFmtId="0" fontId="81" fillId="0" borderId="0" pivotButton="0" quotePrefix="0" xfId="0"/>
    <xf numFmtId="0" fontId="82" fillId="0" borderId="0" pivotButton="0" quotePrefix="0" xfId="0"/>
    <xf numFmtId="0" fontId="83" fillId="0" borderId="0" pivotButton="0" quotePrefix="0" xfId="0"/>
    <xf numFmtId="0" fontId="84" fillId="77" borderId="0" pivotButton="0" quotePrefix="0" xfId="0"/>
    <xf numFmtId="0" fontId="85" fillId="87" borderId="0" pivotButton="0" quotePrefix="0" xfId="0"/>
    <xf numFmtId="0" fontId="85" fillId="87" borderId="26" pivotButton="0" quotePrefix="0" xfId="1"/>
    <xf numFmtId="0" fontId="65" fillId="0" borderId="26" pivotButton="0" quotePrefix="0" xfId="1"/>
    <xf numFmtId="0" fontId="11" fillId="53" borderId="26" pivotButton="0" quotePrefix="0" xfId="1"/>
    <xf numFmtId="0" fontId="19" fillId="0" borderId="26" pivotButton="0" quotePrefix="1" xfId="1"/>
    <xf numFmtId="0" fontId="85" fillId="88" borderId="0" pivotButton="0" quotePrefix="0" xfId="0"/>
    <xf numFmtId="0" fontId="11" fillId="89" borderId="0" pivotButton="0" quotePrefix="0" xfId="0"/>
    <xf numFmtId="0" fontId="85" fillId="88" borderId="26" pivotButton="0" quotePrefix="0" xfId="1"/>
    <xf numFmtId="0" fontId="11" fillId="89" borderId="26" pivotButton="0" quotePrefix="0" xfId="1"/>
    <xf numFmtId="0" fontId="86" fillId="0" borderId="0" pivotButton="0" quotePrefix="0" xfId="0"/>
    <xf numFmtId="0" fontId="87" fillId="53" borderId="0" pivotButton="0" quotePrefix="0" xfId="0"/>
    <xf numFmtId="0" fontId="88" fillId="88" borderId="0" pivotButton="0" quotePrefix="0" xfId="0"/>
    <xf numFmtId="0" fontId="86" fillId="0" borderId="0" pivotButton="0" quotePrefix="1" xfId="0"/>
    <xf numFmtId="0" fontId="87" fillId="89" borderId="0" pivotButton="0" quotePrefix="0" xfId="0"/>
    <xf numFmtId="2" fontId="2" fillId="3" borderId="0" applyAlignment="1" pivotButton="0" quotePrefix="0" xfId="0">
      <alignment horizontal="left" vertical="center" wrapText="1"/>
    </xf>
    <xf numFmtId="0" fontId="0" fillId="0" borderId="0" pivotButton="0" quotePrefix="0" xfId="0"/>
    <xf numFmtId="2" fontId="2" fillId="3" borderId="0" applyAlignment="1" pivotButton="0" quotePrefix="0" xfId="0">
      <alignment horizontal="left" vertical="center"/>
    </xf>
    <xf numFmtId="0" fontId="2" fillId="2" borderId="8" applyAlignment="1" pivotButton="0" quotePrefix="0" xfId="0">
      <alignment vertical="center" wrapText="1"/>
    </xf>
    <xf numFmtId="0" fontId="4" fillId="0" borderId="9" pivotButton="0" quotePrefix="0" xfId="0"/>
    <xf numFmtId="0" fontId="4" fillId="0" borderId="10" pivotButton="0" quotePrefix="0" xfId="0"/>
    <xf numFmtId="0" fontId="4" fillId="0" borderId="0" applyAlignment="1" pivotButton="0" quotePrefix="0" xfId="0">
      <alignment vertical="center" wrapText="1"/>
    </xf>
    <xf numFmtId="0" fontId="2" fillId="28" borderId="8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/>
    </xf>
    <xf numFmtId="0" fontId="2" fillId="9" borderId="8" applyAlignment="1" pivotButton="0" quotePrefix="0" xfId="0">
      <alignment vertical="center" wrapText="1"/>
    </xf>
    <xf numFmtId="49" fontId="11" fillId="3" borderId="21" applyAlignment="1" pivotButton="0" quotePrefix="0" xfId="0">
      <alignment horizontal="center"/>
    </xf>
    <xf numFmtId="0" fontId="4" fillId="0" borderId="22" pivotButton="0" quotePrefix="0" xfId="0"/>
    <xf numFmtId="0" fontId="4" fillId="0" borderId="23" pivotButton="0" quotePrefix="0" xfId="0"/>
    <xf numFmtId="49" fontId="11" fillId="38" borderId="25" applyAlignment="1" pivotButton="0" quotePrefix="0" xfId="0">
      <alignment horizontal="center"/>
    </xf>
    <xf numFmtId="0" fontId="4" fillId="0" borderId="26" pivotButton="0" quotePrefix="0" xfId="0"/>
    <xf numFmtId="49" fontId="11" fillId="38" borderId="25" pivotButton="0" quotePrefix="0" xfId="0"/>
    <xf numFmtId="0" fontId="35" fillId="62" borderId="0" applyAlignment="1" pivotButton="0" quotePrefix="0" xfId="0">
      <alignment horizontal="center"/>
    </xf>
    <xf numFmtId="0" fontId="35" fillId="64" borderId="0" applyAlignment="1" pivotButton="0" quotePrefix="0" xfId="0">
      <alignment horizontal="center"/>
    </xf>
    <xf numFmtId="0" fontId="35" fillId="64" borderId="0" applyAlignment="1" pivotButton="0" quotePrefix="0" xfId="0">
      <alignment horizontal="center" wrapText="1"/>
    </xf>
    <xf numFmtId="0" fontId="35" fillId="62" borderId="0" applyAlignment="1" pivotButton="0" quotePrefix="0" xfId="0">
      <alignment horizontal="center" wrapText="1"/>
    </xf>
    <xf numFmtId="0" fontId="0" fillId="0" borderId="37" pivotButton="0" quotePrefix="0" xfId="0"/>
    <xf numFmtId="0" fontId="0" fillId="0" borderId="43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26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24" fillId="83" borderId="0" applyAlignment="1" pivotButton="0" quotePrefix="0" xfId="0">
      <alignment horizontal="center"/>
    </xf>
    <xf numFmtId="0" fontId="89" fillId="0" borderId="0" applyAlignment="1" pivotButton="0" quotePrefix="0" xfId="0">
      <alignment vertical="top" wrapText="1"/>
    </xf>
    <xf numFmtId="0" fontId="85" fillId="87" borderId="0" applyAlignment="1" pivotButton="0" quotePrefix="0" xfId="0">
      <alignment horizontal="center"/>
    </xf>
    <xf numFmtId="0" fontId="85" fillId="88" borderId="0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Tony Koop</author>
  </authors>
  <commentList>
    <comment ref="B5" authorId="0" shapeId="0">
      <text>
        <t>Tony Koop:
Common sizes: 6", 8", 10", 12", 14". Larger = deeper range.</t>
      </text>
    </comment>
    <comment ref="B7" authorId="0" shapeId="0">
      <text>
        <t>Tony Koop:
2mm = 0.079". Typical range: 1.5-3mm (0.059-0.118"). Thicker = higher pitch, louder, harder to cut.</t>
      </text>
    </comment>
    <comment ref="B8" authorId="0" shapeId="0">
      <text>
        <t>Tony Koop:
~1mm. Laser: 0.01-0.02". Plasma: 0.04-0.06". CNC endmill: 0.125" (too wide).</t>
      </text>
    </comment>
    <comment ref="B10" authorId="0" shapeId="0">
      <text>
        <t>Tony Koop:
Width affects volume and sustain but NOT frequency. Wider = louder.</t>
      </text>
    </comment>
    <comment ref="B12" authorId="0" shapeId="0">
      <text>
        <t>Tony Koop:
Bottom center hole for Helmholtz resonance + rubber feet</t>
      </text>
    </comment>
    <comment ref="B24" authorId="0" shapeId="0">
      <text>
        <t>Tony Koop:
Copy K value from the steel type you're using. Default = Carbon Steel.</t>
      </text>
    </comment>
    <comment ref="B27" authorId="0" shapeId="0">
      <text>
        <t>Tony Koop:
Lenticular volume ≈ (2/3) × πr²h for two shallow hemispheres</t>
      </text>
    </comment>
    <comment ref="B29" authorId="0" shapeId="0">
      <text>
        <t>Tony Koop:
Steel thickness + end correction (0.85×radius for flanged port)</t>
      </text>
    </comment>
    <comment ref="E48" authorId="0" shapeId="0">
      <text>
        <t>Tony Koop:
L = sqrt(K * thickness / freq)</t>
      </text>
    </comment>
    <comment ref="H48" authorId="0" shapeId="0">
      <text>
        <t>Tony Koop:
Slit total = 2 x tongue_length + width + 2 x kerf</t>
      </text>
    </comment>
    <comment ref="I48" authorId="0" shapeId="0">
      <text>
        <t>Tony Koop:
Tongue must fit within radius minus 1 in Ding clearance</t>
      </text>
    </comment>
    <comment ref="E49" authorId="0" shapeId="0">
      <text>
        <t>Tony Koop:
L = sqrt(K * thickness / freq)</t>
      </text>
    </comment>
    <comment ref="H49" authorId="0" shapeId="0">
      <text>
        <t>Tony Koop:
Slit total = 2 x tongue_length + width + 2 x kerf</t>
      </text>
    </comment>
    <comment ref="I49" authorId="0" shapeId="0">
      <text>
        <t>Tony Koop:
Tongue must fit within radius minus 1 in Ding clearance</t>
      </text>
    </comment>
    <comment ref="E50" authorId="0" shapeId="0">
      <text>
        <t>Tony Koop:
L = sqrt(K * thickness / freq)</t>
      </text>
    </comment>
    <comment ref="H50" authorId="0" shapeId="0">
      <text>
        <t>Tony Koop:
Slit total = 2 x tongue_length + width + 2 x kerf</t>
      </text>
    </comment>
    <comment ref="I50" authorId="0" shapeId="0">
      <text>
        <t>Tony Koop:
Tongue must fit within radius minus 1 in Ding clearance</t>
      </text>
    </comment>
    <comment ref="E51" authorId="0" shapeId="0">
      <text>
        <t>Tony Koop:
L = sqrt(K * thickness / freq)</t>
      </text>
    </comment>
    <comment ref="H51" authorId="0" shapeId="0">
      <text>
        <t>Tony Koop:
Slit total = 2 x tongue_length + width + 2 x kerf</t>
      </text>
    </comment>
    <comment ref="I51" authorId="0" shapeId="0">
      <text>
        <t>Tony Koop:
Tongue must fit within radius minus 1 in Ding clearance</t>
      </text>
    </comment>
    <comment ref="E52" authorId="0" shapeId="0">
      <text>
        <t>Tony Koop:
L = sqrt(K * thickness / freq)</t>
      </text>
    </comment>
    <comment ref="H52" authorId="0" shapeId="0">
      <text>
        <t>Tony Koop:
Slit total = 2 x tongue_length + width + 2 x kerf</t>
      </text>
    </comment>
    <comment ref="I52" authorId="0" shapeId="0">
      <text>
        <t>Tony Koop:
Tongue must fit within radius minus 1 in Ding clearance</t>
      </text>
    </comment>
    <comment ref="E53" authorId="0" shapeId="0">
      <text>
        <t>Tony Koop:
L = sqrt(K * thickness / freq)</t>
      </text>
    </comment>
    <comment ref="H53" authorId="0" shapeId="0">
      <text>
        <t>Tony Koop:
Slit total = 2 x tongue_length + width + 2 x kerf</t>
      </text>
    </comment>
    <comment ref="I53" authorId="0" shapeId="0">
      <text>
        <t>Tony Koop:
Tongue must fit within radius minus 1 in Ding clearance</t>
      </text>
    </comment>
    <comment ref="E54" authorId="0" shapeId="0">
      <text>
        <t>Tony Koop:
L = sqrt(K * thickness / freq)</t>
      </text>
    </comment>
    <comment ref="H54" authorId="0" shapeId="0">
      <text>
        <t>Tony Koop:
Slit total = 2 x tongue_length + width + 2 x kerf</t>
      </text>
    </comment>
    <comment ref="I54" authorId="0" shapeId="0">
      <text>
        <t>Tony Koop:
Tongue must fit within radius minus 1 in Ding clearance</t>
      </text>
    </comment>
    <comment ref="E55" authorId="0" shapeId="0">
      <text>
        <t>Tony Koop:
L = sqrt(K * thickness / freq)</t>
      </text>
    </comment>
    <comment ref="H55" authorId="0" shapeId="0">
      <text>
        <t>Tony Koop:
Slit total = 2 x tongue_length + width + 2 x kerf</t>
      </text>
    </comment>
    <comment ref="I55" authorId="0" shapeId="0">
      <text>
        <t>Tony Koop:
Tongue must fit within radius minus 1 in Ding clearance</t>
      </text>
    </comment>
    <comment ref="E56" authorId="0" shapeId="0">
      <text>
        <t>Tony Koop:
L = sqrt(K * thickness / freq)</t>
      </text>
    </comment>
    <comment ref="H56" authorId="0" shapeId="0">
      <text>
        <t>Tony Koop:
Slit total = 2 x tongue_length + width + 2 x kerf</t>
      </text>
    </comment>
    <comment ref="I56" authorId="0" shapeId="0">
      <text>
        <t>Tony Koop:
Tongue must fit within radius minus 1 in Ding clearance</t>
      </text>
    </comment>
    <comment ref="E57" authorId="0" shapeId="0">
      <text>
        <t>Tony Koop:
L = sqrt(K * thickness / freq)</t>
      </text>
    </comment>
    <comment ref="H57" authorId="0" shapeId="0">
      <text>
        <t>Tony Koop:
Slit total = 2 x tongue_length + width + 2 x kerf</t>
      </text>
    </comment>
    <comment ref="I57" authorId="0" shapeId="0">
      <text>
        <t>Tony Koop:
Tongue must fit within radius minus 1 in Ding clearance</t>
      </text>
    </comment>
    <comment ref="E58" authorId="0" shapeId="0">
      <text>
        <t>Tony Koop:
L = sqrt(K * thickness / freq)</t>
      </text>
    </comment>
    <comment ref="H58" authorId="0" shapeId="0">
      <text>
        <t>Tony Koop:
Slit total = 2 x tongue_length + width + 2 x kerf</t>
      </text>
    </comment>
    <comment ref="I58" authorId="0" shapeId="0">
      <text>
        <t>Tony Koop:
Tongue must fit within radius minus 1 in Ding clearance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2.75"/>
  <cols>
    <col width="137.140625" customWidth="1" style="817" min="1" max="1"/>
    <col width="30.42578125" customWidth="1" style="817" min="2" max="2"/>
    <col width="22.85546875" customWidth="1" style="817" min="3" max="3"/>
    <col width="26.7109375" customWidth="1" style="817" min="4" max="4"/>
    <col width="38.140625" customWidth="1" style="817" min="5" max="5"/>
    <col width="22.85546875" customWidth="1" style="817" min="6" max="6"/>
    <col width="17.140625" customWidth="1" style="817" min="7" max="7"/>
    <col width="19" customWidth="1" style="817" min="8" max="8"/>
    <col width="15.28515625" customWidth="1" style="817" min="9" max="9"/>
  </cols>
  <sheetData>
    <row r="1" ht="18" customHeight="1" s="817">
      <c r="A1" s="470" t="inlineStr">
        <is>
          <t>Steel Tongue Drum — Cantilever Beam + Helmholtz Cavity</t>
        </is>
      </c>
    </row>
    <row r="2">
      <c r="A2" s="734" t="inlineStr">
        <is>
          <t>Lenticular steel shell with CNC/laser-cut tongues · Same f = K×t/L² physics as wood tongue drum · Enclosed shell adds Helmholtz resonance</t>
        </is>
      </c>
    </row>
    <row r="4" ht="15" customHeight="1" s="817">
      <c r="A4" s="735" t="inlineStr">
        <is>
          <t>DESIGN INPUTS</t>
        </is>
      </c>
      <c r="B4" s="736" t="n"/>
      <c r="C4" s="736" t="n"/>
      <c r="D4" s="736" t="n"/>
    </row>
    <row r="5">
      <c r="A5" t="inlineStr">
        <is>
          <t>Shell Diameter (in)</t>
        </is>
      </c>
      <c r="B5" s="565" t="n">
        <v>12</v>
      </c>
      <c r="C5" t="inlineStr">
        <is>
          <t>← 6-14" typical; 12" is standard</t>
        </is>
      </c>
    </row>
    <row r="6">
      <c r="A6" t="inlineStr">
        <is>
          <t>Shell Height (in)</t>
        </is>
      </c>
      <c r="B6" s="565" t="n">
        <v>6</v>
      </c>
      <c r="C6" t="inlineStr">
        <is>
          <t>← Total height of both halves glued together</t>
        </is>
      </c>
    </row>
    <row r="7">
      <c r="A7" t="inlineStr">
        <is>
          <t>Steel Thickness (in)</t>
        </is>
      </c>
      <c r="B7" s="596" t="n">
        <v>0.079</v>
      </c>
      <c r="C7" t="inlineStr">
        <is>
          <t>← 2mm (14 ga); 1.5-3mm range</t>
        </is>
      </c>
    </row>
    <row r="8">
      <c r="A8" t="inlineStr">
        <is>
          <t>Slit Kerf Width (in)</t>
        </is>
      </c>
      <c r="B8" s="596" t="n">
        <v>0.04</v>
      </c>
      <c r="C8" t="inlineStr">
        <is>
          <t>← Laser=0.01", Plasma=0.04"</t>
        </is>
      </c>
    </row>
    <row r="9">
      <c r="A9" t="inlineStr">
        <is>
          <t>Number of Tongues</t>
        </is>
      </c>
      <c r="B9" s="737" t="n">
        <v>11</v>
      </c>
      <c r="C9" t="inlineStr">
        <is>
          <t>← 8-15 typical; 11 or 13 for pentatonic + octave</t>
        </is>
      </c>
    </row>
    <row r="10">
      <c r="A10" t="inlineStr">
        <is>
          <t>Tongue Width (in)</t>
        </is>
      </c>
      <c r="B10" s="596" t="n">
        <v>1</v>
      </c>
      <c r="C10" t="inlineStr">
        <is>
          <t>← Width does NOT affect pitch (L² dominant)</t>
        </is>
      </c>
    </row>
    <row r="11">
      <c r="A11" t="inlineStr">
        <is>
          <t>Steel Type</t>
        </is>
      </c>
      <c r="B11" s="564" t="inlineStr">
        <is>
          <t>Carbon Steel</t>
        </is>
      </c>
      <c r="C11" t="inlineStr">
        <is>
          <t>← Carbon, 304 Stainless, or 430 Stainless</t>
        </is>
      </c>
    </row>
    <row r="12">
      <c r="A12" t="inlineStr">
        <is>
          <t>Sound Port Diameter (in)</t>
        </is>
      </c>
      <c r="B12" s="565" t="n">
        <v>2.5</v>
      </c>
      <c r="C12" t="inlineStr">
        <is>
          <t>← Bottom center hole; 2-3" typical</t>
        </is>
      </c>
    </row>
    <row r="13">
      <c r="A13" t="inlineStr">
        <is>
          <t>Reference Pitch (Hz)</t>
        </is>
      </c>
      <c r="B13" s="737" t="n">
        <v>440</v>
      </c>
    </row>
    <row r="14">
      <c r="A14" t="inlineStr">
        <is>
          <t>Scale Selection</t>
        </is>
      </c>
      <c r="B14" s="564" t="inlineStr">
        <is>
          <t>D Kurd</t>
        </is>
      </c>
      <c r="C14" t="inlineStr">
        <is>
          <t>← See Scale Library below</t>
        </is>
      </c>
    </row>
    <row r="16" ht="15" customHeight="1" s="817">
      <c r="A16" s="738" t="inlineStr">
        <is>
          <t>STEEL MATERIAL LIBRARY — Cantilever K Constants</t>
        </is>
      </c>
      <c r="B16" s="739" t="n"/>
      <c r="C16" s="739" t="n"/>
      <c r="D16" s="739" t="n"/>
      <c r="E16" s="739" t="n"/>
      <c r="F16" s="739" t="n"/>
      <c r="G16" s="739" t="n"/>
    </row>
    <row r="17">
      <c r="A17" s="484" t="inlineStr">
        <is>
          <t>Steel Type</t>
        </is>
      </c>
      <c r="B17" s="484" t="inlineStr">
        <is>
          <t>E (GPa)</t>
        </is>
      </c>
      <c r="C17" s="484" t="inlineStr">
        <is>
          <t>ρ (kg/m³)</t>
        </is>
      </c>
      <c r="D17" s="484" t="inlineStr">
        <is>
          <t>K (imperial)</t>
        </is>
      </c>
      <c r="E17" s="484" t="inlineStr">
        <is>
          <t>Tone Character</t>
        </is>
      </c>
      <c r="F17" s="484" t="inlineStr">
        <is>
          <t>Rust?</t>
        </is>
      </c>
      <c r="G17" s="484" t="inlineStr">
        <is>
          <t>Cut Method</t>
        </is>
      </c>
    </row>
    <row r="18">
      <c r="A18" t="inlineStr">
        <is>
          <t>Carbon Steel (1018/1020)</t>
        </is>
      </c>
      <c r="B18" t="n">
        <v>200</v>
      </c>
      <c r="C18" t="n">
        <v>7850</v>
      </c>
      <c r="D18" s="662" t="n">
        <v>32098</v>
      </c>
      <c r="E18" t="inlineStr">
        <is>
          <t>Warm, rich sustain; traditional</t>
        </is>
      </c>
      <c r="F18" t="inlineStr">
        <is>
          <t>Yes — needs coating</t>
        </is>
      </c>
      <c r="G18" t="inlineStr">
        <is>
          <t>Laser, plasma, or CNC</t>
        </is>
      </c>
    </row>
    <row r="19">
      <c r="A19" t="inlineStr">
        <is>
          <t>304 Stainless Steel</t>
        </is>
      </c>
      <c r="B19" t="n">
        <v>193</v>
      </c>
      <c r="C19" t="n">
        <v>8000</v>
      </c>
      <c r="D19" s="662" t="n">
        <v>31234</v>
      </c>
      <c r="E19" t="inlineStr">
        <is>
          <t>Bright, bell-like; long sustain</t>
        </is>
      </c>
      <c r="F19" t="inlineStr">
        <is>
          <t>No</t>
        </is>
      </c>
      <c r="G19" t="inlineStr">
        <is>
          <t>Laser or CNC (hard on plasma)</t>
        </is>
      </c>
    </row>
    <row r="20">
      <c r="A20" t="inlineStr">
        <is>
          <t>430 Stainless Steel</t>
        </is>
      </c>
      <c r="B20" t="n">
        <v>200</v>
      </c>
      <c r="C20" t="n">
        <v>7700</v>
      </c>
      <c r="D20" s="662" t="n">
        <v>32409</v>
      </c>
      <c r="E20" t="inlineStr">
        <is>
          <t>Balanced; good tuning stability</t>
        </is>
      </c>
      <c r="F20" t="inlineStr">
        <is>
          <t>No</t>
        </is>
      </c>
      <c r="G20" t="inlineStr">
        <is>
          <t>Laser or CNC</t>
        </is>
      </c>
    </row>
    <row r="21">
      <c r="A21" t="inlineStr">
        <is>
          <t>Spring Steel (1095)</t>
        </is>
      </c>
      <c r="B21" t="n">
        <v>210</v>
      </c>
      <c r="C21" t="n">
        <v>7850</v>
      </c>
      <c r="D21" s="662" t="n">
        <v>32891</v>
      </c>
      <c r="E21" t="inlineStr">
        <is>
          <t>Crisp, clear; excellent sustain</t>
        </is>
      </c>
      <c r="F21" t="inlineStr">
        <is>
          <t>Yes — needs coating</t>
        </is>
      </c>
      <c r="G21" t="inlineStr">
        <is>
          <t>Laser only (too hard for CNC)</t>
        </is>
      </c>
    </row>
    <row r="22">
      <c r="A22" t="inlineStr">
        <is>
          <t>Corten / Weathering Steel</t>
        </is>
      </c>
      <c r="B22" t="n">
        <v>200</v>
      </c>
      <c r="C22" t="n">
        <v>7850</v>
      </c>
      <c r="D22" s="662" t="n">
        <v>32098</v>
      </c>
      <c r="E22" t="inlineStr">
        <is>
          <t>Warm; develops patina; artistic</t>
        </is>
      </c>
      <c r="F22" t="inlineStr">
        <is>
          <t>Controlled rust (patina)</t>
        </is>
      </c>
      <c r="G22" t="inlineStr">
        <is>
          <t>Laser or plasma</t>
        </is>
      </c>
    </row>
    <row r="23">
      <c r="A23" s="734" t="inlineStr">
        <is>
          <t>← K = (1.875²/2π)×√(E/(12ρ))/0.0254 — same Euler-Bernoulli as wood Tongue Drum sheet</t>
        </is>
      </c>
    </row>
    <row r="24">
      <c r="A24" s="472" t="inlineStr">
        <is>
          <t>Selected Steel K:</t>
        </is>
      </c>
      <c r="B24" s="769" t="n">
        <v>32098</v>
      </c>
    </row>
    <row r="26" ht="15" customHeight="1" s="817">
      <c r="A26" s="743" t="inlineStr">
        <is>
          <t>HELMHOLTZ CAVITY RESONANCE</t>
        </is>
      </c>
      <c r="B26" s="744" t="n"/>
      <c r="C26" s="744" t="n"/>
      <c r="D26" s="744" t="n"/>
    </row>
    <row r="27">
      <c r="A27" t="inlineStr">
        <is>
          <t>Chamber Volume (in³)</t>
        </is>
      </c>
      <c r="B27" s="481">
        <f>PI()*(B5/2)^2*(B6/2)*(2/3)</f>
        <v/>
      </c>
    </row>
    <row r="28">
      <c r="A28" t="inlineStr">
        <is>
          <t>Port Area (in²)</t>
        </is>
      </c>
      <c r="B28" s="482">
        <f>PI()*(B12/2)^2</f>
        <v/>
      </c>
    </row>
    <row r="29">
      <c r="A29" t="inlineStr">
        <is>
          <t>Effective Neck Length (in)</t>
        </is>
      </c>
      <c r="B29" s="482">
        <f>B7+0.85*SQRT(B28/PI())</f>
        <v/>
      </c>
    </row>
    <row r="30">
      <c r="A30" t="inlineStr">
        <is>
          <t>Helmholtz Freq (Hz)</t>
        </is>
      </c>
      <c r="B30" s="707">
        <f>(13552/(2*PI()))*SQRT(B28/(B27*B29))</f>
        <v/>
      </c>
    </row>
    <row r="31">
      <c r="A31" t="inlineStr">
        <is>
          <t>Nearest Note</t>
        </is>
      </c>
      <c r="B31" s="472">
        <f>CHOOSE(MOD(ROUND(12*LOG(B30/B13,2)+69,0),12)+1,"C","C#","D","D#","E","F","F#","G","G#","A","A#","B")&amp;INT((ROUND(12*LOG(B30/B13,2)+69,0))/12-1)</f>
        <v/>
      </c>
    </row>
    <row r="32">
      <c r="A32" s="734" t="inlineStr">
        <is>
          <t>← Helmholtz bass fills in below the lowest tongue — play by cupping/uncupping the port</t>
        </is>
      </c>
    </row>
    <row r="34" ht="15" customHeight="1" s="817">
      <c r="A34" s="743" t="inlineStr">
        <is>
          <t>SCALE LIBRARY — Common Steel Tongue Drum Tunings</t>
        </is>
      </c>
      <c r="B34" s="744" t="n"/>
      <c r="C34" s="744" t="n"/>
      <c r="D34" s="744" t="n"/>
      <c r="E34" s="744" t="n"/>
      <c r="F34" s="744" t="n"/>
    </row>
    <row r="35">
      <c r="A35" s="486" t="inlineStr">
        <is>
          <t>Scale</t>
        </is>
      </c>
      <c r="B35" s="486" t="inlineStr">
        <is>
          <t>Notes (11-note)</t>
        </is>
      </c>
      <c r="C35" s="486" t="inlineStr">
        <is>
          <t>Mood</t>
        </is>
      </c>
    </row>
    <row r="36">
      <c r="A36" t="inlineStr">
        <is>
          <t>D Kurd (Aeolian)</t>
        </is>
      </c>
      <c r="B36" t="inlineStr">
        <is>
          <t>D3 A3 Bb3 C4 D4 E4 F4 G4 A4 Bb4 C5</t>
        </is>
      </c>
      <c r="C36" t="inlineStr">
        <is>
          <t>Versatile minor</t>
        </is>
      </c>
    </row>
    <row r="37">
      <c r="A37" t="inlineStr">
        <is>
          <t>D Celtic Minor</t>
        </is>
      </c>
      <c r="B37" t="inlineStr">
        <is>
          <t>D3 A3 C4 D4 E4 F4 G4 A4 C5 D5 E5</t>
        </is>
      </c>
      <c r="C37" t="inlineStr">
        <is>
          <t>Open, spacious</t>
        </is>
      </c>
    </row>
    <row r="38">
      <c r="A38" t="inlineStr">
        <is>
          <t>C Major (Ionian)</t>
        </is>
      </c>
      <c r="B38" t="inlineStr">
        <is>
          <t>C3 G3 A3 B3 C4 D4 E4 F4 G4 A4 C5</t>
        </is>
      </c>
      <c r="C38" t="inlineStr">
        <is>
          <t>Bright, joyful</t>
        </is>
      </c>
    </row>
    <row r="39">
      <c r="A39" t="inlineStr">
        <is>
          <t>D Akebono</t>
        </is>
      </c>
      <c r="B39" t="inlineStr">
        <is>
          <t>D3 A3 Bb3 D4 E4 A4 Bb4 D5 E5 A5 Bb5</t>
        </is>
      </c>
      <c r="C39" t="inlineStr">
        <is>
          <t>Zen, Japanese</t>
        </is>
      </c>
    </row>
    <row r="40">
      <c r="A40" t="inlineStr">
        <is>
          <t>C# Pygmy</t>
        </is>
      </c>
      <c r="B40" t="inlineStr">
        <is>
          <t>C#3 G#3 B3 C#4 D#4 G#4 B4 C#5 D#5 G#5 B5</t>
        </is>
      </c>
      <c r="C40" t="inlineStr">
        <is>
          <t>Dreamy, grounding</t>
        </is>
      </c>
    </row>
    <row r="41">
      <c r="A41" t="inlineStr">
        <is>
          <t>E Hijaz</t>
        </is>
      </c>
      <c r="B41" t="inlineStr">
        <is>
          <t>E3 B3 C4 D#4 E4 F4 G#4 A4 B4 C5 E5</t>
        </is>
      </c>
      <c r="C41" t="inlineStr">
        <is>
          <t>Exotic, Middle Eastern</t>
        </is>
      </c>
    </row>
    <row r="42">
      <c r="A42" t="inlineStr">
        <is>
          <t>Pentatonic G Major</t>
        </is>
      </c>
      <c r="B42" t="inlineStr">
        <is>
          <t>G3 A3 B3 D4 E4 G4 A4 B4 D5 E5 G5</t>
        </is>
      </c>
      <c r="C42" t="inlineStr">
        <is>
          <t>Universally pleasant</t>
        </is>
      </c>
    </row>
    <row r="43">
      <c r="A43" t="inlineStr">
        <is>
          <t>Pentatonic A Minor</t>
        </is>
      </c>
      <c r="B43" t="inlineStr">
        <is>
          <t>A3 C4 D4 E4 G4 A4 C5 D5 E5 G5 A5</t>
        </is>
      </c>
      <c r="C43" t="inlineStr">
        <is>
          <t>Meditative, calming</t>
        </is>
      </c>
    </row>
    <row r="45" ht="15" customHeight="1" s="817">
      <c r="A45" s="764" t="inlineStr">
        <is>
          <t>TONGUE LENGTH CALCULATOR — Cantilever: f = K × t / L² → L = √(K × t / f)</t>
        </is>
      </c>
      <c r="B45" s="765" t="n"/>
      <c r="C45" s="765" t="n"/>
      <c r="D45" s="765" t="n"/>
      <c r="E45" s="765" t="n"/>
      <c r="F45" s="765" t="n"/>
      <c r="G45" s="765" t="n"/>
      <c r="H45" s="765" t="n"/>
      <c r="I45" s="765" t="n"/>
    </row>
    <row r="46">
      <c r="A46" s="734" t="inlineStr">
        <is>
          <t>← Width affects volume/sustain but NOT frequency. Length is dominant (L² in denominator).</t>
        </is>
      </c>
    </row>
    <row r="47">
      <c r="A47" s="713" t="inlineStr">
        <is>
          <t>#</t>
        </is>
      </c>
      <c r="B47" s="713" t="inlineStr">
        <is>
          <t>Note</t>
        </is>
      </c>
      <c r="C47" s="713" t="inlineStr">
        <is>
          <t>MIDI</t>
        </is>
      </c>
      <c r="D47" s="713" t="inlineStr">
        <is>
          <t>Freq (Hz)</t>
        </is>
      </c>
      <c r="E47" s="713" t="inlineStr">
        <is>
          <t>Tongue Length (in)</t>
        </is>
      </c>
      <c r="F47" s="713" t="inlineStr">
        <is>
          <t>Tongue Length (mm)</t>
        </is>
      </c>
      <c r="G47" s="713" t="inlineStr">
        <is>
          <t>Width (in)</t>
        </is>
      </c>
      <c r="H47" s="713" t="inlineStr">
        <is>
          <t>Slit Total (in)</t>
        </is>
      </c>
      <c r="I47" s="713" t="inlineStr">
        <is>
          <t>Fits?</t>
        </is>
      </c>
    </row>
    <row r="48">
      <c r="A48" t="inlineStr">
        <is>
          <t>Ding</t>
        </is>
      </c>
      <c r="B48" s="564" t="inlineStr">
        <is>
          <t>D3</t>
        </is>
      </c>
      <c r="C48" s="564" t="n">
        <v>50</v>
      </c>
      <c r="D48" s="481">
        <f>440*2^((C48-69)/12)</f>
        <v/>
      </c>
      <c r="E48" s="482">
        <f>SQRT($B$24*$B$7/D48)</f>
        <v/>
      </c>
      <c r="F48" s="481">
        <f>E48*25.4</f>
        <v/>
      </c>
      <c r="G48" s="482">
        <f>$B$10</f>
        <v/>
      </c>
      <c r="H48" s="482">
        <f>2*E48+G48+2*$B$8</f>
        <v/>
      </c>
      <c r="I48" s="472">
        <f>IF(E48&lt;=($B$5/2-1),"OK","TOO LONG")</f>
        <v/>
      </c>
    </row>
    <row r="49">
      <c r="A49" t="n">
        <v>1</v>
      </c>
      <c r="B49" s="564" t="inlineStr">
        <is>
          <t>A3</t>
        </is>
      </c>
      <c r="C49" s="564" t="n">
        <v>57</v>
      </c>
      <c r="D49" s="481">
        <f>440*2^((C49-69)/12)</f>
        <v/>
      </c>
      <c r="E49" s="482">
        <f>SQRT($B$24*$B$7/D49)</f>
        <v/>
      </c>
      <c r="F49" s="481">
        <f>E49*25.4</f>
        <v/>
      </c>
      <c r="G49" s="482">
        <f>$B$10</f>
        <v/>
      </c>
      <c r="H49" s="482">
        <f>2*E49+G49+2*$B$8</f>
        <v/>
      </c>
      <c r="I49" s="472">
        <f>IF(E49&lt;=($B$5/2-1),"OK","TOO LONG")</f>
        <v/>
      </c>
    </row>
    <row r="50">
      <c r="A50" t="n">
        <v>2</v>
      </c>
      <c r="B50" s="564" t="inlineStr">
        <is>
          <t>Bb3</t>
        </is>
      </c>
      <c r="C50" s="564" t="n">
        <v>58</v>
      </c>
      <c r="D50" s="481">
        <f>440*2^((C50-69)/12)</f>
        <v/>
      </c>
      <c r="E50" s="482">
        <f>SQRT($B$24*$B$7/D50)</f>
        <v/>
      </c>
      <c r="F50" s="481">
        <f>E50*25.4</f>
        <v/>
      </c>
      <c r="G50" s="482">
        <f>$B$10</f>
        <v/>
      </c>
      <c r="H50" s="482">
        <f>2*E50+G50+2*$B$8</f>
        <v/>
      </c>
      <c r="I50" s="472">
        <f>IF(E50&lt;=($B$5/2-1),"OK","TOO LONG")</f>
        <v/>
      </c>
    </row>
    <row r="51">
      <c r="A51" t="n">
        <v>3</v>
      </c>
      <c r="B51" s="564" t="inlineStr">
        <is>
          <t>C4</t>
        </is>
      </c>
      <c r="C51" s="564" t="n">
        <v>60</v>
      </c>
      <c r="D51" s="481">
        <f>440*2^((C51-69)/12)</f>
        <v/>
      </c>
      <c r="E51" s="482">
        <f>SQRT($B$24*$B$7/D51)</f>
        <v/>
      </c>
      <c r="F51" s="481">
        <f>E51*25.4</f>
        <v/>
      </c>
      <c r="G51" s="482">
        <f>$B$10</f>
        <v/>
      </c>
      <c r="H51" s="482">
        <f>2*E51+G51+2*$B$8</f>
        <v/>
      </c>
      <c r="I51" s="472">
        <f>IF(E51&lt;=($B$5/2-1),"OK","TOO LONG")</f>
        <v/>
      </c>
    </row>
    <row r="52">
      <c r="A52" t="n">
        <v>4</v>
      </c>
      <c r="B52" s="564" t="inlineStr">
        <is>
          <t>D4</t>
        </is>
      </c>
      <c r="C52" s="564" t="n">
        <v>62</v>
      </c>
      <c r="D52" s="481">
        <f>440*2^((C52-69)/12)</f>
        <v/>
      </c>
      <c r="E52" s="482">
        <f>SQRT($B$24*$B$7/D52)</f>
        <v/>
      </c>
      <c r="F52" s="481">
        <f>E52*25.4</f>
        <v/>
      </c>
      <c r="G52" s="482">
        <f>$B$10</f>
        <v/>
      </c>
      <c r="H52" s="482">
        <f>2*E52+G52+2*$B$8</f>
        <v/>
      </c>
      <c r="I52" s="472">
        <f>IF(E52&lt;=($B$5/2-1),"OK","TOO LONG")</f>
        <v/>
      </c>
    </row>
    <row r="53">
      <c r="A53" t="n">
        <v>5</v>
      </c>
      <c r="B53" s="564" t="inlineStr">
        <is>
          <t>E4</t>
        </is>
      </c>
      <c r="C53" s="564" t="n">
        <v>64</v>
      </c>
      <c r="D53" s="481">
        <f>440*2^((C53-69)/12)</f>
        <v/>
      </c>
      <c r="E53" s="482">
        <f>SQRT($B$24*$B$7/D53)</f>
        <v/>
      </c>
      <c r="F53" s="481">
        <f>E53*25.4</f>
        <v/>
      </c>
      <c r="G53" s="482">
        <f>$B$10</f>
        <v/>
      </c>
      <c r="H53" s="482">
        <f>2*E53+G53+2*$B$8</f>
        <v/>
      </c>
      <c r="I53" s="472">
        <f>IF(E53&lt;=($B$5/2-1),"OK","TOO LONG")</f>
        <v/>
      </c>
    </row>
    <row r="54">
      <c r="A54" t="n">
        <v>6</v>
      </c>
      <c r="B54" s="564" t="inlineStr">
        <is>
          <t>F4</t>
        </is>
      </c>
      <c r="C54" s="564" t="n">
        <v>65</v>
      </c>
      <c r="D54" s="481">
        <f>440*2^((C54-69)/12)</f>
        <v/>
      </c>
      <c r="E54" s="482">
        <f>SQRT($B$24*$B$7/D54)</f>
        <v/>
      </c>
      <c r="F54" s="481">
        <f>E54*25.4</f>
        <v/>
      </c>
      <c r="G54" s="482">
        <f>$B$10</f>
        <v/>
      </c>
      <c r="H54" s="482">
        <f>2*E54+G54+2*$B$8</f>
        <v/>
      </c>
      <c r="I54" s="472">
        <f>IF(E54&lt;=($B$5/2-1),"OK","TOO LONG")</f>
        <v/>
      </c>
    </row>
    <row r="55">
      <c r="A55" t="n">
        <v>7</v>
      </c>
      <c r="B55" s="564" t="inlineStr">
        <is>
          <t>G4</t>
        </is>
      </c>
      <c r="C55" s="564" t="n">
        <v>67</v>
      </c>
      <c r="D55" s="481">
        <f>440*2^((C55-69)/12)</f>
        <v/>
      </c>
      <c r="E55" s="482">
        <f>SQRT($B$24*$B$7/D55)</f>
        <v/>
      </c>
      <c r="F55" s="481">
        <f>E55*25.4</f>
        <v/>
      </c>
      <c r="G55" s="482">
        <f>$B$10</f>
        <v/>
      </c>
      <c r="H55" s="482">
        <f>2*E55+G55+2*$B$8</f>
        <v/>
      </c>
      <c r="I55" s="472">
        <f>IF(E55&lt;=($B$5/2-1),"OK","TOO LONG")</f>
        <v/>
      </c>
    </row>
    <row r="56">
      <c r="A56" t="n">
        <v>8</v>
      </c>
      <c r="B56" s="564" t="inlineStr">
        <is>
          <t>A4</t>
        </is>
      </c>
      <c r="C56" s="564" t="n">
        <v>69</v>
      </c>
      <c r="D56" s="481">
        <f>440*2^((C56-69)/12)</f>
        <v/>
      </c>
      <c r="E56" s="482">
        <f>SQRT($B$24*$B$7/D56)</f>
        <v/>
      </c>
      <c r="F56" s="481">
        <f>E56*25.4</f>
        <v/>
      </c>
      <c r="G56" s="482">
        <f>$B$10</f>
        <v/>
      </c>
      <c r="H56" s="482">
        <f>2*E56+G56+2*$B$8</f>
        <v/>
      </c>
      <c r="I56" s="472">
        <f>IF(E56&lt;=($B$5/2-1),"OK","TOO LONG")</f>
        <v/>
      </c>
    </row>
    <row r="57">
      <c r="A57" t="n">
        <v>9</v>
      </c>
      <c r="B57" s="564" t="inlineStr">
        <is>
          <t>C5</t>
        </is>
      </c>
      <c r="C57" s="564" t="n">
        <v>72</v>
      </c>
      <c r="D57" s="481">
        <f>440*2^((C57-69)/12)</f>
        <v/>
      </c>
      <c r="E57" s="482">
        <f>SQRT($B$24*$B$7/D57)</f>
        <v/>
      </c>
      <c r="F57" s="481">
        <f>E57*25.4</f>
        <v/>
      </c>
      <c r="G57" s="482">
        <f>$B$10</f>
        <v/>
      </c>
      <c r="H57" s="482">
        <f>2*E57+G57+2*$B$8</f>
        <v/>
      </c>
      <c r="I57" s="472">
        <f>IF(E57&lt;=($B$5/2-1),"OK","TOO LONG")</f>
        <v/>
      </c>
    </row>
    <row r="58">
      <c r="A58" t="n">
        <v>10</v>
      </c>
      <c r="B58" s="564" t="inlineStr">
        <is>
          <t>D5</t>
        </is>
      </c>
      <c r="C58" s="564" t="n">
        <v>74</v>
      </c>
      <c r="D58" s="481">
        <f>440*2^((C58-69)/12)</f>
        <v/>
      </c>
      <c r="E58" s="482">
        <f>SQRT($B$24*$B$7/D58)</f>
        <v/>
      </c>
      <c r="F58" s="481">
        <f>E58*25.4</f>
        <v/>
      </c>
      <c r="G58" s="482">
        <f>$B$10</f>
        <v/>
      </c>
      <c r="H58" s="482">
        <f>2*E58+G58+2*$B$8</f>
        <v/>
      </c>
      <c r="I58" s="472">
        <f>IF(E58&lt;=($B$5/2-1),"OK","TOO LONG")</f>
        <v/>
      </c>
    </row>
    <row r="60" ht="15" customHeight="1" s="817">
      <c r="A60" s="735" t="inlineStr">
        <is>
          <t>BILL OF MATERIALS</t>
        </is>
      </c>
      <c r="B60" s="736" t="n"/>
      <c r="C60" s="736" t="n"/>
      <c r="D60" s="736" t="n"/>
      <c r="E60" s="736" t="n"/>
      <c r="F60" s="736" t="n"/>
    </row>
    <row r="61">
      <c r="A61" s="475" t="inlineStr">
        <is>
          <t>#</t>
        </is>
      </c>
      <c r="B61" s="478" t="inlineStr">
        <is>
          <t>Item</t>
        </is>
      </c>
      <c r="C61" s="475" t="inlineStr">
        <is>
          <t>Qty</t>
        </is>
      </c>
      <c r="D61" s="475" t="inlineStr">
        <is>
          <t>Spec / Dimensions</t>
        </is>
      </c>
      <c r="E61" s="475" t="inlineStr">
        <is>
          <t>Supplier / Notes</t>
        </is>
      </c>
      <c r="F61" s="475" t="inlineStr">
        <is>
          <t>Est. Cost</t>
        </is>
      </c>
    </row>
    <row r="62">
      <c r="A62" t="n">
        <v>1</v>
      </c>
      <c r="B62" t="inlineStr">
        <is>
          <t>Steel tank / propane tank</t>
        </is>
      </c>
      <c r="C62" t="n">
        <v>1</v>
      </c>
      <c r="D62" t="inlineStr">
        <is>
          <t>12 in diam, ~2mm wall, carbon or stainless</t>
        </is>
      </c>
      <c r="E62" t="inlineStr">
        <is>
          <t>Empty propane tank (most common), or buy pre-drawn shells</t>
        </is>
      </c>
      <c r="F62" t="inlineStr">
        <is>
          <t>$15-50</t>
        </is>
      </c>
    </row>
    <row r="63">
      <c r="A63" t="n">
        <v>2</v>
      </c>
      <c r="B63" t="inlineStr">
        <is>
          <t>Angle grinder + cut-off disc</t>
        </is>
      </c>
      <c r="C63" t="n">
        <v>1</v>
      </c>
      <c r="D63" t="inlineStr">
        <is>
          <t>4.5 in grinder, thin cut-off wheel (1mm)</t>
        </is>
      </c>
      <c r="E63" t="inlineStr">
        <is>
          <t>For cutting tank open and rough tongue cuts</t>
        </is>
      </c>
      <c r="F63" t="inlineStr">
        <is>
          <t>$30-60</t>
        </is>
      </c>
    </row>
    <row r="64">
      <c r="A64" t="n">
        <v>3</v>
      </c>
      <c r="B64" t="inlineStr">
        <is>
          <t>Jigsaw with metal blade</t>
        </is>
      </c>
      <c r="C64" t="n">
        <v>1</v>
      </c>
      <c r="D64" t="inlineStr">
        <is>
          <t>OR plasma cutter, OR Dremel with cut-off wheel</t>
        </is>
      </c>
      <c r="E64" t="inlineStr">
        <is>
          <t>For precise tongue slit cuts; laser cut if available</t>
        </is>
      </c>
      <c r="F64" t="inlineStr">
        <is>
          <t>$20-50</t>
        </is>
      </c>
    </row>
    <row r="65">
      <c r="A65" t="n">
        <v>4</v>
      </c>
      <c r="B65" t="inlineStr">
        <is>
          <t>Files + deburring tools</t>
        </is>
      </c>
      <c r="C65" t="n">
        <v>1</v>
      </c>
      <c r="D65" t="inlineStr">
        <is>
          <t>Flat file, half-round, needle files</t>
        </is>
      </c>
      <c r="E65" t="inlineStr">
        <is>
          <t>Smooth all cut edges; critical for tone quality</t>
        </is>
      </c>
      <c r="F65" t="inlineStr">
        <is>
          <t>$15-30</t>
        </is>
      </c>
    </row>
    <row r="66">
      <c r="A66" t="n">
        <v>5</v>
      </c>
      <c r="B66" t="inlineStr">
        <is>
          <t>Chromatic tuner + spectrum analyzer</t>
        </is>
      </c>
      <c r="C66" t="n">
        <v>1</v>
      </c>
      <c r="D66" t="inlineStr">
        <is>
          <t>Peterson StroboClip or Audacity FFT</t>
        </is>
      </c>
      <c r="E66" t="inlineStr">
        <is>
          <t>Same as handpan tuning setup</t>
        </is>
      </c>
      <c r="F66" t="inlineStr">
        <is>
          <t>$30-100</t>
        </is>
      </c>
    </row>
    <row r="67">
      <c r="A67" t="n">
        <v>6</v>
      </c>
      <c r="B67" t="inlineStr">
        <is>
          <t>Magnets (tongue weights)</t>
        </is>
      </c>
      <c r="C67" t="n">
        <v>12</v>
      </c>
      <c r="D67" t="inlineStr">
        <is>
          <t>Small neodymium magnets, various sizes</t>
        </is>
      </c>
      <c r="E67" t="inlineStr">
        <is>
          <t>Stick to underside of tongue to lower pitch for fine-tuning</t>
        </is>
      </c>
      <c r="F67" t="inlineStr">
        <is>
          <t>$5-15</t>
        </is>
      </c>
    </row>
    <row r="68">
      <c r="A68" t="n">
        <v>7</v>
      </c>
      <c r="B68" t="inlineStr">
        <is>
          <t>Rubber feet / pads</t>
        </is>
      </c>
      <c r="C68" t="n">
        <v>4</v>
      </c>
      <c r="D68" t="inlineStr">
        <is>
          <t>Adhesive rubber bumpers</t>
        </is>
      </c>
      <c r="E68" t="inlineStr">
        <is>
          <t>Isolate drum from surface; improve resonance</t>
        </is>
      </c>
      <c r="F68" t="inlineStr">
        <is>
          <t>$5-10</t>
        </is>
      </c>
    </row>
    <row r="69">
      <c r="A69" t="n">
        <v>8</v>
      </c>
      <c r="B69" t="inlineStr">
        <is>
          <t>Paint / finish</t>
        </is>
      </c>
      <c r="C69" t="n">
        <v>1</v>
      </c>
      <c r="D69" t="inlineStr">
        <is>
          <t>High-temp spray paint or patina finish</t>
        </is>
      </c>
      <c r="E69" t="inlineStr">
        <is>
          <t>Rust protection for carbon steel; decorative for stainless</t>
        </is>
      </c>
      <c r="F69" t="inlineStr">
        <is>
          <t>$10-20</t>
        </is>
      </c>
    </row>
    <row r="70">
      <c r="B70" s="472" t="inlineStr">
        <is>
          <t>ESTIMATED TOTAL</t>
        </is>
      </c>
      <c r="F70" s="472" t="inlineStr">
        <is>
          <t>$130-335</t>
        </is>
      </c>
    </row>
    <row r="72" ht="15" customHeight="1" s="817">
      <c r="A72" s="747" t="inlineStr">
        <is>
          <t>BUILD METHOD</t>
        </is>
      </c>
      <c r="B72" s="748" t="n"/>
      <c r="C72" s="748" t="n"/>
      <c r="D72" s="748" t="n"/>
      <c r="E72" s="748" t="n"/>
      <c r="F72" s="748" t="n"/>
    </row>
    <row r="73">
      <c r="A73" s="768" t="inlineStr">
        <is>
          <t>#</t>
        </is>
      </c>
      <c r="B73" s="768" t="inlineStr">
        <is>
          <t>Phase</t>
        </is>
      </c>
      <c r="C73" s="768" t="inlineStr">
        <is>
          <t>Operation</t>
        </is>
      </c>
      <c r="D73" s="768" t="inlineStr">
        <is>
          <t>Tools</t>
        </is>
      </c>
      <c r="E73" s="768" t="inlineStr">
        <is>
          <t>Key Parameters</t>
        </is>
      </c>
    </row>
    <row r="74">
      <c r="A74" t="n">
        <v>1</v>
      </c>
      <c r="B74" t="inlineStr">
        <is>
          <t>Shell Prep</t>
        </is>
      </c>
      <c r="C74" t="inlineStr">
        <is>
          <t>Acquire tank; remove valve; clean inside</t>
        </is>
      </c>
      <c r="D74" t="inlineStr">
        <is>
          <t>Wrench, soap/water flush</t>
        </is>
      </c>
      <c r="E74" t="inlineStr">
        <is>
          <t>SAFETY: ensure tank is completely empty and purged of gas</t>
        </is>
      </c>
    </row>
    <row r="75">
      <c r="A75" t="n">
        <v>2</v>
      </c>
      <c r="B75" t="inlineStr">
        <is>
          <t>Shell Prep</t>
        </is>
      </c>
      <c r="C75" t="inlineStr">
        <is>
          <t>Cut tank in half at equator (top = playing surface)</t>
        </is>
      </c>
      <c r="D75" t="inlineStr">
        <is>
          <t>Angle grinder</t>
        </is>
      </c>
      <c r="E75" t="inlineStr">
        <is>
          <t>Mark line with tape; cut slowly; deburr edge</t>
        </is>
      </c>
    </row>
    <row r="76">
      <c r="A76" t="n">
        <v>3</v>
      </c>
      <c r="B76" t="inlineStr">
        <is>
          <t>Shell Prep</t>
        </is>
      </c>
      <c r="C76" t="inlineStr">
        <is>
          <t>Weld or glue halves back with ~6 in gap (height)</t>
        </is>
      </c>
      <c r="D76" t="inlineStr">
        <is>
          <t>MIG welder or epoxy</t>
        </is>
      </c>
      <c r="E76" t="inlineStr">
        <is>
          <t>Or use two matching tanks for desired height</t>
        </is>
      </c>
    </row>
    <row r="77">
      <c r="A77" t="n">
        <v>4</v>
      </c>
      <c r="B77" t="inlineStr">
        <is>
          <t>Layout</t>
        </is>
      </c>
      <c r="C77" t="inlineStr">
        <is>
          <t>Mark tongue pattern on top shell from center outward</t>
        </is>
      </c>
      <c r="D77" t="inlineStr">
        <is>
          <t>Template, compass, marker</t>
        </is>
      </c>
      <c r="E77" t="inlineStr">
        <is>
          <t>Use laser-cut acrylic template from calculator dimensions</t>
        </is>
      </c>
    </row>
    <row r="78">
      <c r="A78" t="n">
        <v>5</v>
      </c>
      <c r="B78" t="inlineStr">
        <is>
          <t>Cutting</t>
        </is>
      </c>
      <c r="C78" t="inlineStr">
        <is>
          <t>Cut tongue slits using jigsaw or plasma cutter</t>
        </is>
      </c>
      <c r="D78" t="inlineStr">
        <is>
          <t>Jigsaw (metal blade), OR plasma, OR laser</t>
        </is>
      </c>
      <c r="E78" t="inlineStr">
        <is>
          <t>Cut slightly short; file to final length for pitch adjustment</t>
        </is>
      </c>
    </row>
    <row r="79">
      <c r="A79" t="n">
        <v>6</v>
      </c>
      <c r="B79" t="inlineStr">
        <is>
          <t>Cutting</t>
        </is>
      </c>
      <c r="C79" t="inlineStr">
        <is>
          <t>Deburr and smooth all cut edges</t>
        </is>
      </c>
      <c r="D79" t="inlineStr">
        <is>
          <t>Files, sandpaper, Dremel</t>
        </is>
      </c>
      <c r="E79" t="inlineStr">
        <is>
          <t>Smooth edges critical for clean tone and finger safety</t>
        </is>
      </c>
    </row>
    <row r="80">
      <c r="A80" t="n">
        <v>7</v>
      </c>
      <c r="B80" t="inlineStr">
        <is>
          <t>Tuning</t>
        </is>
      </c>
      <c r="C80" t="inlineStr">
        <is>
          <t>Check pitch of each tongue with tuner</t>
        </is>
      </c>
      <c r="D80" t="inlineStr">
        <is>
          <t>Chromatic tuner</t>
        </is>
      </c>
      <c r="E80" t="inlineStr">
        <is>
          <t>Tongues will be SHARP initially (too short = too high)</t>
        </is>
      </c>
    </row>
    <row r="81">
      <c r="A81" t="n">
        <v>8</v>
      </c>
      <c r="B81" t="inlineStr">
        <is>
          <t>Tuning</t>
        </is>
      </c>
      <c r="C81" t="inlineStr">
        <is>
          <t>File tip of tongue to LOWER pitch (lengthen effective beam)</t>
        </is>
      </c>
      <c r="D81" t="inlineStr">
        <is>
          <t>Flat file, needle file</t>
        </is>
      </c>
      <c r="E81" t="inlineStr">
        <is>
          <t>Thinning the tip = lower freq. Shortening = higher freq.</t>
        </is>
      </c>
    </row>
    <row r="82">
      <c r="A82" t="n">
        <v>9</v>
      </c>
      <c r="B82" t="inlineStr">
        <is>
          <t>Tuning</t>
        </is>
      </c>
      <c r="C82" t="inlineStr">
        <is>
          <t>Add magnets to underside for fine-tuning (lower pitch)</t>
        </is>
      </c>
      <c r="D82" t="inlineStr">
        <is>
          <t>Neodymium magnets</t>
        </is>
      </c>
      <c r="E82" t="inlineStr">
        <is>
          <t>Magnets add mass to tongue tip; easy to adjust</t>
        </is>
      </c>
    </row>
    <row r="83">
      <c r="A83" t="n">
        <v>10</v>
      </c>
      <c r="B83" t="inlineStr">
        <is>
          <t>Port</t>
        </is>
      </c>
      <c r="C83" t="inlineStr">
        <is>
          <t>Cut or verify Gu sound port in bottom shell</t>
        </is>
      </c>
      <c r="D83" t="inlineStr">
        <is>
          <t>Hole saw</t>
        </is>
      </c>
      <c r="E83" t="inlineStr">
        <is>
          <t>2.5 in port; affects Helmholtz bass and sustain</t>
        </is>
      </c>
    </row>
    <row r="84">
      <c r="A84" t="n">
        <v>11</v>
      </c>
      <c r="B84" t="inlineStr">
        <is>
          <t>Finishing</t>
        </is>
      </c>
      <c r="C84" t="inlineStr">
        <is>
          <t>Clean, paint/seal, add rubber feet</t>
        </is>
      </c>
      <c r="D84" t="inlineStr">
        <is>
          <t>Spray paint, rubber pads</t>
        </is>
      </c>
      <c r="E84" t="inlineStr">
        <is>
          <t>High-temp paint for carbon steel; patina or polish for stainless</t>
        </is>
      </c>
    </row>
    <row r="85">
      <c r="A85" t="n">
        <v>12</v>
      </c>
      <c r="B85" t="inlineStr">
        <is>
          <t>Finishing</t>
        </is>
      </c>
      <c r="C85" t="inlineStr">
        <is>
          <t>Final tuning check after finish has cured</t>
        </is>
      </c>
      <c r="D85" t="inlineStr">
        <is>
          <t>Chromatic tuner</t>
        </is>
      </c>
      <c r="E85" t="inlineStr">
        <is>
          <t>Paint adds slight mass; re-check all tongues</t>
        </is>
      </c>
    </row>
    <row r="87" ht="15" customHeight="1" s="817">
      <c r="A87" s="751" t="inlineStr">
        <is>
          <t>DESIGN NOTES</t>
        </is>
      </c>
      <c r="B87" s="752" t="n"/>
      <c r="C87" s="752" t="n"/>
      <c r="D87" s="752" t="n"/>
      <c r="E87" s="752" t="n"/>
      <c r="F87" s="752" t="n"/>
    </row>
    <row r="88">
      <c r="A88" t="inlineStr">
        <is>
          <t>1. Same cantilever beam physics as your wood Tongue Drum sheet, but with steel K constants (~32,000 vs ~25,000-29,000 for wood).</t>
        </is>
      </c>
    </row>
    <row r="89">
      <c r="A89" t="inlineStr">
        <is>
          <t>2. Steel tongues are shorter than wood for same note because steel has higher K (stiffer material, similar density).</t>
        </is>
      </c>
    </row>
    <row r="90">
      <c r="A90" t="inlineStr">
        <is>
          <t>3. The enclosed shell acts as a Helmholtz resonator — this is what gives the singing sustain that open-back wood tongue drums lack.</t>
        </is>
      </c>
    </row>
    <row r="91">
      <c r="A91" t="inlineStr">
        <is>
          <t>4. WIDTH does NOT affect pitch (only volume/sustain). Wider tongues = louder, more sustain. Narrower = quieter, quicker decay.</t>
        </is>
      </c>
    </row>
    <row r="92">
      <c r="A92" t="inlineStr">
        <is>
          <t>5. Tongue tip filing is the primary tuning method: thinning the tip lowers pitch. NEVER shorten a tongue to raise pitch — you can't add metal back.</t>
        </is>
      </c>
    </row>
    <row r="93">
      <c r="A93" t="inlineStr">
        <is>
          <t>6. Neodymium magnets on tongue underside are the secret weapon for fine-tuning. Easy to add/remove, reversible.</t>
        </is>
      </c>
    </row>
    <row r="94">
      <c r="A94" t="inlineStr">
        <is>
          <t>7. Laser cutting tongue slits (Epilog at Maker Nexus) gives cleanest cuts and most accurate dimensions. Jigsaw is backup.</t>
        </is>
      </c>
    </row>
    <row r="95">
      <c r="A95" t="inlineStr">
        <is>
          <t>8. Propane tanks are the most popular DIY shell. Standard 20lb tank is ~12 in diam. Larger tanks (14-16 in) allow lower notes.</t>
        </is>
      </c>
    </row>
    <row r="96">
      <c r="A96" t="inlineStr">
        <is>
          <t>9. Unlike handpan, NO multi-partial tuning needed — each tongue produces one clean fundamental. Much easier first steel project.</t>
        </is>
      </c>
    </row>
    <row r="97">
      <c r="A97" t="inlineStr">
        <is>
          <t>10. The photo shows a commercial 13-tongue drum. Start with 8-11 tongues for your first build; add more as you gain experience.</t>
        </is>
      </c>
    </row>
    <row r="100" ht="18" customHeight="1" s="817">
      <c r="A100" s="802" t="inlineStr">
        <is>
          <t>WOLFRAM CLOUD NOTEBOOK SPEC — STEEL TONGUE DRUM</t>
        </is>
      </c>
    </row>
    <row r="101">
      <c r="A101" s="734" t="inlineStr">
        <is>
          <t>Propane-tank or sheet-steel tongue drum — Hapi-style, all-metal.</t>
        </is>
      </c>
    </row>
    <row r="103">
      <c r="A103" s="609" t="inlineStr">
        <is>
          <t>§1 — Origin &amp; Etymology</t>
        </is>
      </c>
    </row>
    <row r="104">
      <c r="A104" t="inlineStr">
        <is>
          <t>Origin: ~2007 Hapi Drum (Dennis Havlena) — invented from a 20-lb propane tank. Spread rapidly through DIY community.</t>
        </is>
      </c>
    </row>
    <row r="105">
      <c r="A105" t="inlineStr">
        <is>
          <t>Inspired by tongue-drums + handpan. Lower cost than handpan (~$100–300 vs $1500–3000).</t>
        </is>
      </c>
    </row>
    <row r="106">
      <c r="A106" t="inlineStr">
        <is>
          <t>Wolfram items: TimelinePlot[{2007 Havlena, 2010s commercialization, present}].</t>
        </is>
      </c>
    </row>
    <row r="108">
      <c r="A108" s="609" t="inlineStr">
        <is>
          <t>§2 — Physics</t>
        </is>
      </c>
    </row>
    <row r="109">
      <c r="A109" t="inlineStr">
        <is>
          <t>Steel tongues cut into a closed steel chamber (propane tank or welded sheet). f = K_steel·t/L² (cantilever).</t>
        </is>
      </c>
    </row>
    <row r="110">
      <c r="A110" t="inlineStr">
        <is>
          <t>Chamber acts as Helmholtz: f_H = (c/2π)·√(A_holes/(V·L_neck)). Coupling tongue + chamber adds sustain.</t>
        </is>
      </c>
    </row>
    <row r="111">
      <c r="A111" t="inlineStr">
        <is>
          <t>Note: K for steel ~6× wood → tongue lengths shorter, ~3–6" for typical pentatonic range.</t>
        </is>
      </c>
    </row>
    <row r="112">
      <c r="A112" t="inlineStr">
        <is>
          <t>Wolfram functions: NDEigensystem cantilever steel; Helmholtz formula; Periodogram of struck tongue.</t>
        </is>
      </c>
    </row>
    <row r="114">
      <c r="A114" s="609" t="inlineStr">
        <is>
          <t>§3 — Geometry &amp; Materials</t>
        </is>
      </c>
    </row>
    <row r="115">
      <c r="A115" t="inlineStr">
        <is>
          <t>20-lb propane tank: 30 cm Ø × 36 cm tall, 2.5 mm wall steel. Or welded 2 mm steel hemispheres.</t>
        </is>
      </c>
    </row>
    <row r="116">
      <c r="A116" t="inlineStr">
        <is>
          <t>Tongues cut by plasma/laser, ~3–6" long × 1.5" wide. Pentatonic or diatonic scales.</t>
        </is>
      </c>
    </row>
    <row r="117">
      <c r="A117" t="inlineStr">
        <is>
          <t>Wolfram items: Manipulate tongue lengths → pentatonic scale; ParametricPlot3D tank + cuts.</t>
        </is>
      </c>
    </row>
    <row r="119">
      <c r="A119" s="609" t="inlineStr">
        <is>
          <t>§4 — Animations</t>
        </is>
      </c>
    </row>
    <row r="120">
      <c r="A120" t="inlineStr">
        <is>
          <t>Mode 1 of each tongue Animate; sympathetic ringing across tongues.</t>
        </is>
      </c>
    </row>
    <row r="121">
      <c r="A121" t="inlineStr">
        <is>
          <t>Helmholtz cavity pressure pulsation.</t>
        </is>
      </c>
    </row>
    <row r="123">
      <c r="A123" s="609" t="inlineStr">
        <is>
          <t>§5 — Executable Cells</t>
        </is>
      </c>
    </row>
    <row r="124">
      <c r="A124" t="inlineStr">
        <is>
          <t>kSteel := (1.875^2/(2 π)) Sqrt[200 10^9 /(12·7850)] / 0.0254</t>
        </is>
      </c>
    </row>
    <row r="125">
      <c r="A125" t="inlineStr">
        <is>
          <t>lTongue[f_,t_]:=Sqrt[kSteel t / f]</t>
        </is>
      </c>
    </row>
    <row r="126">
      <c r="A126" t="inlineStr">
        <is>
          <t>fHelmTank[A_,V_,L_]:=(343/(2 π)) Sqrt[A/(V L)]</t>
        </is>
      </c>
    </row>
    <row r="128">
      <c r="A128" s="609" t="inlineStr">
        <is>
          <t>§6 — Wolfram Functions</t>
        </is>
      </c>
    </row>
    <row r="129">
      <c r="A129" t="inlineStr">
        <is>
          <t>NDEigensystem, Manipulate, Periodogram, CloudDeploy, FormFunction, APIFunction.</t>
        </is>
      </c>
    </row>
    <row r="134" ht="18" customHeight="1" s="817">
      <c r="A134" s="807" t="inlineStr">
        <is>
          <t>WOLFRAM EXPLORATIONS — STEEL TONGUE DRUM</t>
        </is>
      </c>
    </row>
    <row r="135">
      <c r="A135" s="734" t="inlineStr">
        <is>
          <t>Roadmap-inspired notebook ideas mapped to this instrument.</t>
        </is>
      </c>
    </row>
    <row r="137">
      <c r="A137" s="808" t="inlineStr">
        <is>
          <t>Sound synthesis</t>
        </is>
      </c>
    </row>
    <row r="138">
      <c r="A138" s="811" t="inlineStr">
        <is>
          <t>→ Cantilever Timbre Comparison (roadmap: filed as #35)</t>
        </is>
      </c>
    </row>
    <row r="139">
      <c r="A139" t="inlineStr">
        <is>
          <t>Synthesize same tongue length in steel vs wood vs ceramic; high K_steel → short bright tongue; high Q → long sustain.</t>
        </is>
      </c>
    </row>
    <row r="140">
      <c r="A140" t="inlineStr">
        <is>
          <t>Pentatonic Playground tablet demo — click/tap notes.</t>
        </is>
      </c>
    </row>
    <row r="142">
      <c r="A142" s="808" t="inlineStr">
        <is>
          <t>Manufacturing</t>
        </is>
      </c>
    </row>
    <row r="143">
      <c r="A143" s="811" t="inlineStr">
        <is>
          <t>→ Plasma/Laser Toolpath Animator (roadmap: G-Code Animator)</t>
        </is>
      </c>
    </row>
    <row r="144">
      <c r="A144" t="inlineStr">
        <is>
          <t>Animate the cut sequence on a 20-lb propane-tank blank; verify tongue boundaries before running plasma. Avoid heat warp by sequencing inner cuts first.</t>
        </is>
      </c>
    </row>
    <row r="146">
      <c r="A146" s="808" t="inlineStr">
        <is>
          <t>Helmholtz tuning</t>
        </is>
      </c>
    </row>
    <row r="147">
      <c r="A147" s="811" t="inlineStr">
        <is>
          <t>→ Helmholtz Resonance Tuner (roadmap)</t>
        </is>
      </c>
    </row>
    <row r="148">
      <c r="A148" t="inlineStr">
        <is>
          <t>Manipulate sound-hole area + tank volume → cavity resonance vs tongue range; tune cavity to harmonize with the lowest tongue (not coincide — detune slightly for richer sound).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2026-05-01T02:02:13Z</dcterms:created>
  <dcterms:modified xmlns:dcterms="http://purl.org/dc/terms/" xmlns:xsi="http://www.w3.org/2001/XMLSchema-instance" xsi:type="dcterms:W3CDTF">2026-05-02T18:58:13Z</dcterms:modified>
  <cp:lastModifiedBy>Tony Koop</cp:lastModifiedBy>
</cp:coreProperties>
</file>